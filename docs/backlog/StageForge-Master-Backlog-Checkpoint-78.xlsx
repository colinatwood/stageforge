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6f3326534140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9ac0df70b44c39"/>
    <x:sheet xmlns:r="http://schemas.openxmlformats.org/officeDocument/2006/relationships" name="Backlog" sheetId="2" r:id="Rb3880c73c3a84221"/>
    <x:sheet xmlns:r="http://schemas.openxmlformats.org/officeDocument/2006/relationships" name="Completed Checkpoints" sheetId="3" r:id="R215331bcf4ee43ca"/>
    <x:sheet xmlns:r="http://schemas.openxmlformats.org/officeDocument/2006/relationships" name="Qualification Gates" sheetId="4" r:id="Ree557b627ce349c8"/>
    <x:sheet xmlns:r="http://schemas.openxmlformats.org/officeDocument/2006/relationships" name="Definitions" sheetId="5" r:id="R2932acf669364ccf"/>
    <x:sheet xmlns:r="http://schemas.openxmlformats.org/officeDocument/2006/relationships" name="External Qualification Plan" sheetId="6" r:id="Rdb05dfaf7d944b36"/>
    <x:sheet xmlns:r="http://schemas.openxmlformats.org/officeDocument/2006/relationships" name="Qualification Intake" sheetId="7" r:id="Rce2278c77c174a49"/>
    <x:sheet xmlns:r="http://schemas.openxmlformats.org/officeDocument/2006/relationships" name="CI Platform Evidence" sheetId="8" r:id="R28a32c634f66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6"/>
      <x:name val="Carlito"/>
    </x:font>
    <x:font>
      <x:sz val="11"/>
      <x:color rgb="FF7C2D12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1E3A8A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D4ED8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1D4ED8"/>
      </x:patternFill>
    </x:fill>
    <x:fill>
      <x:patternFill patternType="solid">
        <x:fgColor rgb="FF7C2D12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top"/>
    </x:xf>
    <x:xf numFmtId="0" fontId="3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1" fillId="11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vertical="top"/>
    </x:xf>
    <x:xf numFmtId="0" fontId="3" fillId="17" borderId="0" xfId="0" applyNumberFormat="1" applyFont="1" applyFill="1" applyBorder="1" applyAlignment="1">
      <x:alignment vertical="top"/>
    </x:xf>
    <x:xf numFmtId="0" fontId="1" fillId="18" borderId="0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0" fillId="20" borderId="0" xfId="0" applyNumberFormat="1" applyFont="1" applyFill="1" applyBorder="1"/>
    <x:xf numFmtId="0" fontId="5" fillId="20" borderId="0" xfId="0" applyNumberFormat="1" applyFont="1" applyFill="1" applyBorder="1"/>
    <x:xf numFmtId="0" fontId="5" fillId="20" borderId="0" xfId="0" applyNumberFormat="1" applyFont="1" applyFill="1" applyBorder="1" applyAlignment="1">
      <x:alignment wrapText="1"/>
    </x:xf>
    <x:xf numFmtId="0" fontId="5" fillId="2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0" fillId="21" borderId="0" xfId="0" applyNumberFormat="1" applyFont="1" applyFill="1" applyBorder="1"/>
    <x:xf numFmtId="0" fontId="6" fillId="21" borderId="0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5" fillId="25" borderId="0" xfId="0" applyNumberFormat="1" applyFont="1" applyFill="1" applyBorder="1" applyAlignment="1">
      <x:alignment wrapText="1"/>
    </x:xf>
    <x:xf numFmtId="0" fontId="5" fillId="2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E5E7EB"/>
        </x:patternFill>
      </x:fill>
    </x:dxf>
    <x:dxf>
      <x:font>
        <x:b/>
        <x:color rgb="FFB91C1C"/>
      </x:font>
    </x:dxf>
    <x:dxf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E5E7EB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DE68A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FECACA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3954162ea41ad" /><Relationship Type="http://schemas.openxmlformats.org/officeDocument/2006/relationships/theme" Target="/xl/theme/theme1.xml" Id="R452efc5b8d1d431e" /><Relationship Type="http://schemas.openxmlformats.org/officeDocument/2006/relationships/sharedStrings" Target="/xl/sharedStrings.xml" Id="R1b141069f5be4713" /><Relationship Type="http://schemas.openxmlformats.org/officeDocument/2006/relationships/worksheet" Target="/xl/worksheets/sheet1.xml" Id="Rae9ac0df70b44c39" /><Relationship Type="http://schemas.openxmlformats.org/officeDocument/2006/relationships/worksheet" Target="/xl/worksheets/sheet2.xml" Id="Rb3880c73c3a84221" /><Relationship Type="http://schemas.openxmlformats.org/officeDocument/2006/relationships/worksheet" Target="/xl/worksheets/sheet3.xml" Id="R215331bcf4ee43ca" /><Relationship Type="http://schemas.openxmlformats.org/officeDocument/2006/relationships/worksheet" Target="/xl/worksheets/sheet4.xml" Id="Ree557b627ce349c8" /><Relationship Type="http://schemas.openxmlformats.org/officeDocument/2006/relationships/worksheet" Target="/xl/worksheets/sheet5.xml" Id="R2932acf669364ccf" /><Relationship Type="http://schemas.openxmlformats.org/officeDocument/2006/relationships/worksheet" Target="/xl/worksheets/sheet6.xml" Id="Rdb05dfaf7d944b36" /><Relationship Type="http://schemas.openxmlformats.org/officeDocument/2006/relationships/worksheet" Target="/xl/worksheets/sheet7.xml" Id="Rce2278c77c174a49" /><Relationship Type="http://schemas.openxmlformats.org/officeDocument/2006/relationships/worksheet" Target="/xl/worksheets/sheet8.xml" Id="R28a32c634f66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b71f0642f64f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backlog by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Items</c:v>
          </c:tx>
          <c:cat>
            <c:strRef>
              <c:f>'Dashboard'!$A$9:$A$14</c:f>
              <c:strCache>
                <c:ptCount val="0"/>
              </c:strCache>
            </c:strRef>
          </c:cat>
          <c:val>
            <c:numRef>
              <c:f>'Dashboard'!$B$9:$B$14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b71f0642f64f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ctiveBacklogTable" displayName="ActiveBacklogTable" ref="A1:O50" headerRowCount="1" totalsRowCount="0" totalsRowShown="0">
  <x:tableColumns count="15">
    <x:tableColumn id="1" name="ID"/>
    <x:tableColumn id="2" name="Workstream"/>
    <x:tableColumn id="3" name="Layer"/>
    <x:tableColumn id="4" name="Work Item"/>
    <x:tableColumn id="5" name="Outcome"/>
    <x:tableColumn id="6" name="Priority"/>
    <x:tableColumn id="7" name="Status"/>
    <x:tableColumn id="8" name="Phase"/>
    <x:tableColumn id="9" name="Type"/>
    <x:tableColumn id="10" name="Dependency / Prerequisite"/>
    <x:tableColumn id="11" name="Acceptance Criteria"/>
    <x:tableColumn id="12" name="Verification"/>
    <x:tableColumn id="13" name="Risk"/>
    <x:tableColumn id="14" name="Source"/>
    <x:tableColumn id="15" name="Rank 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eckpointHistoryTable" displayName="CheckpointHistoryTable" ref="A1:G58" headerRowCount="1" totalsRowCount="0" totalsRowShown="0">
  <x:tableColumns count="7">
    <x:tableColumn id="1" name="Checkpoint"/>
    <x:tableColumn id="2" name="Delivered"/>
    <x:tableColumn id="3" name="Tests Passed"/>
    <x:tableColumn id="4" name="Suite"/>
    <x:tableColumn id="5" name="Native Evidence"/>
    <x:tableColumn id="6" name="Remaining Seam"/>
    <x:tableColumn id="7" name="D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alificationGatesTable" displayName="QualificationGatesTable" ref="A1:E11" headerRowCount="1" totalsRowCount="0" totalsRowShown="0">
  <x:tableColumns count="5">
    <x:tableColumn id="1" name="Gate"/>
    <x:tableColumn id="2" name="State"/>
    <x:tableColumn id="3" name="Evidence Still Required"/>
    <x:tableColumn id="4" name="Backlog IDs"/>
    <x:tableColumn id="5" name="Claim Constrai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c94830bba94a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79ce0fb15b4f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258e0d9254c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3cad47798348a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18" hidden="0" customWidth="1"/>
    <x:col min="5" max="5" width="18" hidden="0" customWidth="1"/>
    <x:col min="6" max="6" width="36" hidden="0" customWidth="1"/>
    <x:col min="7" max="7" width="34" hidden="0" customWidth="1"/>
    <x:col min="8" max="8" width="24" hidden="0" customWidth="1"/>
  </x:cols>
  <x:sheetData>
    <x:row r="1" ht="21.600000381469727" hidden="0" customHeight="1">
      <x:c r="A1" s="21" t="str">
        <x:v>StageForge / UPP Rebuilt Master Backlog</x:v>
      </x:c>
      <x:c r="B1" s="21"/>
      <x:c r="C1" s="21"/>
      <x:c r="D1" s="21"/>
      <x:c r="E1" s="21"/>
      <x:c r="F1" s="21"/>
      <x:c r="G1" s="21"/>
      <x:c r="H1" s="21"/>
    </x:row>
    <x:row r="2" ht="15" hidden="0" customHeight="1">
      <x:c r="A2" s="27" t="str">
        <x:v>Checkpoint 78 | Guarded stream lifecycle and manual macOS rendering | 25 items remain open</x:v>
      </x:c>
      <x:c r="B2" s="27"/>
      <x:c r="C2" s="27"/>
      <x:c r="D2" s="27"/>
      <x:c r="E2" s="27"/>
      <x:c r="F2" s="27"/>
      <x:c r="G2" s="27"/>
      <x:c r="H2" s="27"/>
    </x:row>
    <x:row r="3"/>
    <x:row r="4" ht="15" hidden="0" customHeight="1">
      <x:c r="A4" s="30" t="str">
        <x:v>TOTAL OPEN</x:v>
      </x:c>
      <x:c r="B4" s="30" t="str">
        <x:v>P0</x:v>
      </x:c>
      <x:c r="C4" s="30" t="str">
        <x:v>READY</x:v>
      </x:c>
      <x:c r="D4" s="30" t="str">
        <x:v>BLOCKED</x:v>
      </x:c>
      <x:c r="E4" s="30" t="str">
        <x:v>DEFERRED</x:v>
      </x:c>
      <x:c r="F4" s="30" t="str">
        <x:v>SOFTWARE</x:v>
      </x:c>
      <x:c r="G4" s="30" t="str">
        <x:v>QUALIFICATION</x:v>
      </x:c>
      <x:c r="H4" s="30" t="str">
        <x:v>DECISIONS</x:v>
      </x:c>
    </x:row>
    <x:row r="5" ht="19.200000762939453" hidden="0" customHeight="1">
      <x:c r="A5" s="34" t="n">
        <x:f>COUNTIF(Backlog!$G$2:$G$50,"&lt;&gt;Done")</x:f>
        <x:v>25</x:v>
      </x:c>
      <x:c r="B5" s="34" t="n">
        <x:f>COUNTIFS(Backlog!$F$2:$F$50,"P0",Backlog!$G$2:$G$50,"&lt;&gt;Done")</x:f>
        <x:v>22</x:v>
      </x:c>
      <x:c r="C5" s="34" t="n">
        <x:f>COUNTIF(Backlog!$G$2:$G$50,"Ready")</x:f>
        <x:v>0</x:v>
      </x:c>
      <x:c r="D5" s="34" t="n">
        <x:f>COUNTIF(Backlog!$G$2:$G$50,"Blocked")</x:f>
        <x:v>11</x:v>
      </x:c>
      <x:c r="E5" s="34" t="n">
        <x:f>COUNTIF(Backlog!$G$2:$G$50,"Deferred")</x:f>
        <x:v>7</x:v>
      </x:c>
      <x:c r="F5" s="34" t="n">
        <x:f>COUNTIFS(Backlog!$I$2:$I$50,"Software",Backlog!$G$2:$G$50,"&lt;&gt;Done")</x:f>
        <x:v>4</x:v>
      </x:c>
      <x:c r="G5" s="34" t="n">
        <x:f>COUNTIFS(Backlog!$I$2:$I$50,"Qualification",Backlog!$G$2:$G$50,"&lt;&gt;Done")</x:f>
        <x:v>19</x:v>
      </x:c>
      <x:c r="H5" s="34" t="n">
        <x:f>COUNTIFS(Backlog!$I$2:$I$50,"Decision",Backlog!$G$2:$G$50,"&lt;&gt;Done")</x:f>
        <x:v>2</x:v>
      </x:c>
    </x:row>
    <x:row r="6"/>
    <x:row r="7"/>
    <x:row r="8" ht="15" hidden="0" customHeight="1">
      <x:c r="A8" s="39" t="str">
        <x:v>Phase</x:v>
      </x:c>
      <x:c r="B8" s="39" t="str">
        <x:v>Open Items</x:v>
      </x:c>
      <x:c r="C8" s="39" t="str">
        <x:v>Intent</x:v>
      </x:c>
      <x:c r="E8" s="39" t="str">
        <x:v>Order</x:v>
      </x:c>
      <x:c r="F8" s="39" t="str">
        <x:v>Next slice</x:v>
      </x:c>
      <x:c r="G8" s="39" t="str">
        <x:v>Exit condition</x:v>
      </x:c>
      <x:c r="H8" s="39" t="str">
        <x:v>Primary gate</x:v>
      </x:c>
    </x:row>
    <x:row r="9" ht="15" hidden="0" customHeight="1">
      <x:c r="A9" t="str">
        <x:v>5.2</x:v>
      </x:c>
      <x:c r="B9" t="n">
        <x:f>COUNTIFS(Backlog!$H:$H,A9,Backlog!$G:$G,"&lt;&gt;Done")</x:f>
        <x:v>0</x:v>
      </x:c>
      <x:c r="C9" t="str">
        <x:v>Finish explicit audio conversion execution</x:v>
      </x:c>
      <x:c r="E9" t="n">
        <x:v>1</x:v>
      </x:c>
      <x:c r="F9" t="str">
        <x:v>Independent-witness multi-host drill</x:v>
      </x:c>
      <x:c r="G9" t="str">
        <x:v>Separate witness hosts/power/network prove 2/3 survival, 1/3 denial, clock bounds and fenced-node recovery</x:v>
      </x:c>
      <x:c r="H9" t="str">
        <x:v>Actual independent hosts</x:v>
      </x:c>
    </x:row>
    <x:row r="10" ht="15" hidden="0" customHeight="1">
      <x:c r="A10" t="str">
        <x:v>5.3</x:v>
      </x:c>
      <x:c r="B10" t="n">
        <x:f>COUNTIFS(Backlog!$H:$H,A10,Backlog!$G:$G,"&lt;&gt;Done")</x:f>
        <x:v>6</x:v>
      </x:c>
      <x:c r="C10" t="str">
        <x:v>Security, packaging, browser acceptance</x:v>
      </x:c>
      <x:c r="E10" t="n">
        <x:v>2</x:v>
      </x:c>
      <x:c r="F10" t="str">
        <x:v>Venue/control LAN + browser-network qualification</x:v>
      </x:c>
      <x:c r="G10" t="str">
        <x:v>Real TLS certificate, reverse proxy, IdP, firewall and browser/session path behave under controller load</x:v>
      </x:c>
      <x:c r="H10" t="str">
        <x:v>Deployed network</x:v>
      </x:c>
    </x:row>
    <x:row r="11" ht="15" hidden="0" customHeight="1">
      <x:c r="A11" t="str">
        <x:v>5.4</x:v>
      </x:c>
      <x:c r="B11" t="n">
        <x:f>COUNTIFS(Backlog!$H:$H,A11,Backlog!$G:$G,"&lt;&gt;Done")</x:f>
        <x:v>0</x:v>
      </x:c>
      <x:c r="C11" t="str">
        <x:v>DAW durability, authority, public-record groundwork</x:v>
      </x:c>
      <x:c r="E11" t="n">
        <x:v>3</x:v>
      </x:c>
      <x:c r="F11" t="str">
        <x:v>Clean-host Linux packaging qualification</x:v>
      </x:c>
      <x:c r="G11" t="str">
        <x:v>Install/reinstall/uninstall plus service/device permissions match the package contract</x:v>
      </x:c>
      <x:c r="H11" t="str">
        <x:v>Fresh Linux host/VM with devices</x:v>
      </x:c>
    </x:row>
    <x:row r="12" ht="15" hidden="0" customHeight="1">
      <x:c r="A12" t="str">
        <x:v>5.5</x:v>
      </x:c>
      <x:c r="B12" t="n">
        <x:f>COUNTIFS(Backlog!$H:$H,A12,Backlog!$G:$G,"&lt;&gt;Done")</x:f>
        <x:v>7</x:v>
      </x:c>
      <x:c r="C12" t="str">
        <x:v>Windows/macOS, plugin and IPC coverage</x:v>
      </x:c>
      <x:c r="E12" t="n">
        <x:v>4</x:v>
      </x:c>
      <x:c r="F12" t="str">
        <x:v>Windows/macOS audio + device lifecycle implementation</x:v>
      </x:c>
      <x:c r="G12" t="str">
        <x:v>Physical audio negotiation and persistent hotplug/recovery semantics reach parity with Linux</x:v>
      </x:c>
      <x:c r="H12" t="str">
        <x:v>Platform implementations + CI</x:v>
      </x:c>
    </x:row>
    <x:row r="13" ht="46" hidden="0" customHeight="1">
      <x:c r="A13" t="str">
        <x:v>6.0</x:v>
      </x:c>
      <x:c r="B13" t="n">
        <x:f>COUNTIFS(Backlog!$H:$H,A13,Backlog!$G:$G,"&lt;&gt;Done")</x:f>
        <x:v>11</x:v>
      </x:c>
      <x:c r="C13" t="str">
        <x:v>Named-hardware and production qualification</x:v>
      </x:c>
      <x:c r="E13" t="n">
        <x:v>5</x:v>
      </x:c>
      <x:c r="F13" s="12" t="str">
        <x:v>Endpoint streams and engine integration</x:v>
      </x:c>
      <x:c r="G13" s="12" t="str">
        <x:v>Apply exact configuration; safely gate callbacks and stop native I/O on loss</x:v>
      </x:c>
      <x:c r="H13" s="12" t="str">
        <x:v>Device-clocked stream + engine evidence</x:v>
      </x:c>
    </x:row>
    <x:row r="14" ht="15" hidden="0" customHeight="1">
      <x:c r="A14" t="str">
        <x:v>6.x</x:v>
      </x:c>
      <x:c r="B14" t="n">
        <x:f>COUNTIFS(Backlog!$H:$H,A14,Backlog!$G:$G,"&lt;&gt;Done")</x:f>
        <x:v>1</x:v>
      </x:c>
      <x:c r="C14" t="str">
        <x:v>Longer-horizon governance and RF expansion</x:v>
      </x:c>
      <x:c r="E14" t="n">
        <x:v>6</x:v>
      </x:c>
      <x:c r="F14" t="str">
        <x:v>AT/plugins/named-hardware qualification</x:v>
      </x:c>
      <x:c r="G14" t="str">
        <x:v>Accessibility, licensed plugin and stage support claims are measured on actual platforms/hardware</x:v>
      </x:c>
      <x:c r="H14" t="str">
        <x:v>External qualification environments</x:v>
      </x:c>
    </x:row>
    <x:row r="15"/>
    <x:row r="16"/>
    <x:row r="17" ht="15" hidden="0" customHeight="1">
      <x:c r="A17" s="43" t="str">
        <x:v>Operating rule</x:v>
      </x:c>
      <x:c r="B17" s="43"/>
      <x:c r="C17" s="43"/>
      <x:c r="D17" s="43"/>
      <x:c r="E17" s="43"/>
      <x:c r="F17" s="43"/>
      <x:c r="G17" s="43"/>
      <x:c r="H17" s="43"/>
    </x:row>
    <x:row r="18">
      <x:c r="A18" s="49" t="str">
        <x:v>Never convert software evidence into a hardware/stage-support claim. Discovery, simulation, protocol conformance, and unit tests can close software work, but named hardware, timing, RF, audible behavior, and failover still require qualification evidence.</x:v>
      </x:c>
      <x:c r="B18" s="49"/>
      <x:c r="C18" s="49"/>
      <x:c r="D18" s="49"/>
      <x:c r="E18" s="49"/>
      <x:c r="F18" s="49"/>
      <x:c r="G18" s="49"/>
      <x:c r="H18" s="49"/>
    </x:row>
    <x:row r="19">
      <x:c r="A19" s="49"/>
      <x:c r="B19" s="49"/>
      <x:c r="C19" s="49"/>
      <x:c r="D19" s="49"/>
      <x:c r="E19" s="49"/>
      <x:c r="F19" s="49"/>
      <x:c r="G19" s="49"/>
      <x:c r="H19" s="49"/>
    </x:row>
    <x:row r="20">
      <x:c r="A20" s="49"/>
      <x:c r="B20" s="49"/>
      <x:c r="C20" s="49"/>
      <x:c r="D20" s="49"/>
      <x:c r="E20" s="49"/>
      <x:c r="F20" s="49"/>
      <x:c r="G20" s="49"/>
      <x:c r="H20" s="49"/>
    </x:row>
    <x:row r="21"/>
    <x:row r="22" ht="15" hidden="0" customHeight="1">
      <x:c r="A22" s="39" t="str">
        <x:v>Source of truth</x:v>
      </x:c>
      <x:c r="B22" s="39"/>
      <x:c r="C22" s="39"/>
      <x:c r="D22" s="39"/>
      <x:c r="E22" s="39"/>
      <x:c r="F22" s="39"/>
      <x:c r="G22" s="39"/>
      <x:c r="H22" s="39"/>
    </x:row>
    <x:row r="23" ht="66" customHeight="1">
      <x:c r="A23" s="55" t="str">
        <x:v>Checkpoint 78 code ec7bd4e4dc2977ac578048a8a95509a14ebcc1cd; hosted evidence https://github.com/colinatwood/stageforge/actions/runs/34904550438. Stream lifecycle rejects stale authority, preserves pending stops and requires explicit rearm after loss. macOS Generic Output manually rendered 18 callbacks / 4608 frames, including fenced silence and restart. No device clock or hardware output. Actual endpoint streams and full-engine integration remain open. PLUG-034 stays Done; licensed compatibility remains separate.</x:v>
      </x:c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  <x:row r="26">
      <x:c r="A26" s="55"/>
      <x:c r="B26" s="55"/>
      <x:c r="C26" s="55"/>
      <x:c r="D26" s="55"/>
      <x:c r="E26" s="55"/>
      <x:c r="F26" s="55"/>
      <x:c r="G26" s="55"/>
      <x:c r="H26" s="55"/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mergeCells>
    <x:mergeCell ref="A1:H1"/>
    <x:mergeCell ref="A2:H2"/>
    <x:mergeCell ref="A17:H17"/>
    <x:mergeCell ref="A18:H20"/>
    <x:mergeCell ref="A22:H22"/>
    <x:mergeCell ref="A23:H26"/>
  </x:mergeCells>
  <x:pageMargins left="0.7" right="0.7" top="0.75" bottom="0.75" header="0.3" footer="0.3"/>
  <x:drawing xmlns:r="http://schemas.openxmlformats.org/officeDocument/2006/relationships" r:id="R40c94830bba94af8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8" hidden="0" customWidth="1"/>
    <x:col min="4" max="4" width="34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5" hidden="0" customWidth="1"/>
    <x:col min="11" max="11" width="44" hidden="0" customWidth="1"/>
    <x:col min="12" max="12" width="34" hidden="0" customWidth="1"/>
    <x:col min="13" max="13" width="12" hidden="0" customWidth="1"/>
    <x:col min="14" max="14" width="28" hidden="0" customWidth="1"/>
    <x:col min="15" max="15" width="12" hidden="0" customWidth="1"/>
  </x:cols>
  <x:sheetData>
    <x:row r="1" ht="15" hidden="0" customHeight="1">
      <x:c r="A1" s="14" t="str">
        <x:v>ID</x:v>
      </x:c>
      <x:c r="B1" s="14" t="str">
        <x:v>Workstream</x:v>
      </x:c>
      <x:c r="C1" s="14" t="str">
        <x:v>Layer</x:v>
      </x:c>
      <x:c r="D1" s="14" t="str">
        <x:v>Work Item</x:v>
      </x:c>
      <x:c r="E1" s="14" t="str">
        <x:v>Outcome</x:v>
      </x:c>
      <x:c r="F1" s="14" t="str">
        <x:v>Priority</x:v>
      </x:c>
      <x:c r="G1" s="14" t="str">
        <x:v>Status</x:v>
      </x:c>
      <x:c r="H1" s="14" t="str">
        <x:v>Phase</x:v>
      </x:c>
      <x:c r="I1" s="14" t="str">
        <x:v>Type</x:v>
      </x:c>
      <x:c r="J1" s="14" t="str">
        <x:v>Dependency / Prerequisite</x:v>
      </x:c>
      <x:c r="K1" s="14" t="str">
        <x:v>Acceptance Criteria</x:v>
      </x:c>
      <x:c r="L1" s="14" t="str">
        <x:v>Verification</x:v>
      </x:c>
      <x:c r="M1" s="14" t="str">
        <x:v>Risk</x:v>
      </x:c>
      <x:c r="N1" s="14" t="str">
        <x:v>Source</x:v>
      </x:c>
      <x:c r="O1" s="14" t="str">
        <x:v>Rank Score</x:v>
      </x:c>
    </x:row>
    <x:row r="2" ht="39.599998474121094" hidden="0" customHeight="1">
      <x:c r="A2" s="15" t="str">
        <x:v>REC-033</x:v>
      </x:c>
      <x:c r="B2" s="15" t="str">
        <x:v>Recovery / Redundancy</x:v>
      </x:c>
      <x:c r="C2" s="15" t="str">
        <x:v>Operations</x:v>
      </x:c>
      <x:c r="D2" s="15" t="str">
        <x:v>Multi-host persistently-fenced-node recovery drill</x:v>
      </x:c>
      <x:c r="E2" s="15" t="str">
        <x:v>Prove the completed recovery protocol across genuinely separate hosts without restoring authority or arming outputs</x:v>
      </x:c>
      <x:c r="F2" s="15" t="str">
        <x:v>P0</x:v>
      </x:c>
      <x:c r="G2" s="15" t="str">
        <x:v>Blocked</x:v>
      </x:c>
      <x:c r="H2" s="15" t="str">
        <x:v>6.0</x:v>
      </x:c>
      <x:c r="I2" s="15" t="str">
        <x:v>Qualification</x:v>
      </x:c>
      <x:c r="J2" s="15" t="str">
        <x:v>WIT-048</x:v>
      </x:c>
      <x:c r="K2" s="15" t="str">
        <x:v>Recovery receipt precedes fence removal; recovered node remains standby/disarmed across a real multi-host drill with one witness unavailable</x:v>
      </x:c>
      <x:c r="L2" s="15" t="str">
        <x:v>Independent multi-host drill with witness, clock and output-state evidence</x:v>
      </x:c>
      <x:c r="M2" s="15" t="str">
        <x:v>Critical</x:v>
      </x:c>
      <x:c r="N2" s="15" t="str">
        <x:v>docs/current-backlog.md priority 1</x:v>
      </x:c>
      <x:c r="O2" s="15" t="n">
        <x:f>IF(G2="Done",0,IF(F2="P0",400,IF(F2="P1",300,IF(F2="P2",200,100)))+IF(G2="In Progress",60,IF(G2="Ready",50,IF(G2="Backlog",30,IF(G2="Blocked",10,0))))+IF(M2="Critical",20,IF(M2="High",10,0)))</x:f>
        <x:v>430</x:v>
      </x:c>
    </x:row>
    <x:row r="3" ht="26.399999618530273" hidden="0" customHeight="1">
      <x:c r="A3" s="15" t="str">
        <x:v>REC-034</x:v>
      </x:c>
      <x:c r="B3" s="15" t="str">
        <x:v>Recovery / Redundancy</x:v>
      </x:c>
      <x:c r="C3" s="15" t="str">
        <x:v>Operations</x:v>
      </x:c>
      <x:c r="D3" s="15" t="str">
        <x:v>Physical independent-witness recovery qualification</x:v>
      </x:c>
      <x:c r="E3" s="15" t="str">
        <x:v>Validate recovery/fencing against witnesses deployed in genuinely separate failure domains</x:v>
      </x:c>
      <x:c r="F3" s="15" t="str">
        <x:v>P0</x:v>
      </x:c>
      <x:c r="G3" s="15" t="str">
        <x:v>Blocked</x:v>
      </x:c>
      <x:c r="H3" s="15" t="str">
        <x:v>6.0</x:v>
      </x:c>
      <x:c r="I3" s="15" t="str">
        <x:v>Qualification</x:v>
      </x:c>
      <x:c r="J3" s="15" t="str">
        <x:v>REC-033, WIT-048</x:v>
      </x:c>
      <x:c r="K3" s="15" t="str">
        <x:v>No StageForge node, shared host, shared power/network failure domain or single witness can unilaterally authorize recovery</x:v>
      </x:c>
      <x:c r="L3" s="15" t="str">
        <x:v>Independent witness host/network/power failure-domain exercise</x:v>
      </x:c>
      <x:c r="M3" s="15" t="str">
        <x:v>Critical</x:v>
      </x:c>
      <x:c r="N3" s="15" t="str">
        <x:v>docs/current-backlog.md priority 1</x:v>
      </x:c>
      <x:c r="O3" s="15" t="n">
        <x:f>IF(G3="Done",0,IF(F3="P0",400,IF(F3="P2",300,IF(F3="P3",200,100)))+IF(G3="In Progress",60,IF(G3="Ready",50,IF(G3="Backlog",30,IF(G3="Blocked",10,0))))+IF(M3="Critical",20,IF(M3="High",10,0)))</x:f>
        <x:v>430</x:v>
      </x:c>
    </x:row>
    <x:row r="4" ht="39.599998474121094" hidden="0" customHeight="1">
      <x:c r="A4" s="15" t="str">
        <x:v>SEC-033</x:v>
      </x:c>
      <x:c r="B4" s="15" t="str">
        <x:v>Security</x:v>
      </x:c>
      <x:c r="C4" s="15" t="str">
        <x:v>Deployment</x:v>
      </x:c>
      <x:c r="D4" s="15" t="str">
        <x:v>Proxy-HTTPS deployment contract + qualification tooling</x:v>
      </x:c>
      <x:c r="E4" s="15" t="str">
        <x:v>Make the reviewed TLS/auth reverse-proxy boundary machine-checkable while keeping the StageForge backend loopback-only</x:v>
      </x:c>
      <x:c r="F4" s="15" t="str">
        <x:v>P0</x:v>
      </x:c>
      <x:c r="G4" s="15" t="str">
        <x:v>Done</x:v>
      </x:c>
      <x:c r="H4" s="15" t="str">
        <x:v>5.3</x:v>
      </x:c>
      <x:c r="I4" s="15" t="str">
        <x:v>Software</x:v>
      </x:c>
      <x:c r="J4" s="15" t="str">
        <x:v>Astra 22-32 hardening</x:v>
      </x:c>
      <x:c r="K4" s="15" t="str">
        <x:v>Strict profile rejects unsafe deployment configuration; backend and TLS-edge probes verify the documented contract</x:v>
      </x:c>
      <x:c r="L4" s="15" t="str">
        <x:v>6 deployment tests + live local TLS reference exercise + installer packaging checks</x:v>
      </x:c>
      <x:c r="M4" s="15" t="str">
        <x:v>Critical</x:v>
      </x:c>
      <x:c r="N4" s="15" t="str">
        <x:v>docs/astra-checkpoint-33-validation.md</x:v>
      </x:c>
      <x:c r="O4" s="15" t="n">
        <x:f>IF(G4="Done",0,IF(F4="P0",400,IF(F4="P3",300,IF(F4="P4",200,100)))+IF(G4="In Progress",60,IF(G4="Ready",50,IF(G4="Backlog",30,IF(G4="Blocked",10,0))))+IF(M4="Critical",20,IF(M4="High",10,0)))</x:f>
        <x:v>0</x:v>
      </x:c>
    </x:row>
    <x:row r="5" ht="26.399999618530273" hidden="0" customHeight="1">
      <x:c r="A5" s="15" t="str">
        <x:v>SEC-034</x:v>
      </x:c>
      <x:c r="B5" s="15" t="str">
        <x:v>Security</x:v>
      </x:c>
      <x:c r="C5" s="15" t="str">
        <x:v>Backend</x:v>
      </x:c>
      <x:c r="D5" s="15" t="str">
        <x:v>Authorization-audit retention and rotation</x:v>
      </x:c>
      <x:c r="E5" s="15" t="str">
        <x:v>Bound durable actor/action audit storage without breaking chain verification</x:v>
      </x:c>
      <x:c r="F5" s="15" t="str">
        <x:v>P0</x:v>
      </x:c>
      <x:c r="G5" s="15" t="str">
        <x:v>Done</x:v>
      </x:c>
      <x:c r="H5" s="15" t="str">
        <x:v>5.3</x:v>
      </x:c>
      <x:c r="I5" s="15" t="str">
        <x:v>Software</x:v>
      </x:c>
      <x:c r="J5" s="15" t="str">
        <x:v>SEC-033</x:v>
      </x:c>
      <x:c r="K5" s="15" t="str">
        <x:v>Rotation is atomic, bounded and continuous; pruning commits a cryptographic retention anchor before deletion</x:v>
      </x:c>
      <x:c r="L5" s="15" t="str">
        <x:v>5 retention/rotation durability tests including tamper, ENOSPC and crash residue</x:v>
      </x:c>
      <x:c r="M5" s="15" t="str">
        <x:v>Critical</x:v>
      </x:c>
      <x:c r="N5" s="15" t="str">
        <x:v>docs/astra-checkpoint-34-validation.md</x:v>
      </x:c>
      <x:c r="O5" s="15" t="n">
        <x:f>IF(G5="Done",0,IF(F5="P0",400,IF(F5="P4",300,IF(F5="P5",200,100)))+IF(G5="In Progress",60,IF(G5="Ready",50,IF(G5="Backlog",30,IF(G5="Blocked",10,0))))+IF(M5="Critical",20,IF(M5="High",10,0)))</x:f>
        <x:v>0</x:v>
      </x:c>
    </x:row>
    <x:row r="6" ht="39.599998474121094" hidden="0" customHeight="1">
      <x:c r="A6" s="15" t="str">
        <x:v>SEC-035</x:v>
      </x:c>
      <x:c r="B6" s="15" t="str">
        <x:v>Security</x:v>
      </x:c>
      <x:c r="C6" s="15" t="str">
        <x:v>Backend</x:v>
      </x:c>
      <x:c r="D6" s="15" t="str">
        <x:v>Specialized authorization-audit unification</x:v>
      </x:c>
      <x:c r="E6" s="15" t="str">
        <x:v>Unify durable evidence for admin-token, adapter-report and selected machine-HMAC authorization without widening human roles</x:v>
      </x:c>
      <x:c r="F6" s="15" t="str">
        <x:v>P1</x:v>
      </x:c>
      <x:c r="G6" s="15" t="str">
        <x:v>Done</x:v>
      </x:c>
      <x:c r="H6" s="15" t="str">
        <x:v>5.3</x:v>
      </x:c>
      <x:c r="I6" s="15" t="str">
        <x:v>Software</x:v>
      </x:c>
      <x:c r="J6" s="15" t="str">
        <x:v>SEC-034</x:v>
      </x:c>
      <x:c r="K6" s="15" t="str">
        <x:v>Specialized allow/deny decisions are persisted before execution; machine HMAC evidence is emitted after verification and before mutation; credentials/raw payloads are excluded</x:v>
      </x:c>
      <x:c r="L6" s="15" t="str">
        <x:v>6 new specialized authorization regressions; 506-test release suite; 2/2 native CTest; 117 schemas/OpenAPI; 7 JS syntax checks</x:v>
      </x:c>
      <x:c r="M6" s="15" t="str">
        <x:v>High</x:v>
      </x:c>
      <x:c r="N6" s="15" t="str">
        <x:v>docs/astra-checkpoint-36-validation.md</x:v>
      </x:c>
      <x:c r="O6" s="15" t="n">
        <x:f>IF(G6="Done",0,IF(F6="P0",400,IF(F6="P5",300,IF(F6="P6",200,100)))+IF(G6="In Progress",60,IF(G6="Ready",50,IF(G6="Backlog",30,IF(G6="Blocked",10,0))))+IF(M6="Critical",20,IF(M6="High",10,0)))</x:f>
        <x:v>0</x:v>
      </x:c>
    </x:row>
    <x:row r="7" ht="26.399999618530273" hidden="0" customHeight="1">
      <x:c r="A7" s="15" t="str">
        <x:v>SEC-036</x:v>
      </x:c>
      <x:c r="B7" s="15" t="str">
        <x:v>Security</x:v>
      </x:c>
      <x:c r="C7" s="15" t="str">
        <x:v>Replication</x:v>
      </x:c>
      <x:c r="D7" s="15" t="str">
        <x:v>Witness/replication HMAC key lifecycle and rotation</x:v>
      </x:c>
      <x:c r="E7" s="15" t="str">
        <x:v>Rotate cluster authentication keys without restart, split-brain, silent downgrade, or changing authority semantics</x:v>
      </x:c>
      <x:c r="F7" s="15" t="str">
        <x:v>P0</x:v>
      </x:c>
      <x:c r="G7" s="15" t="str">
        <x:v>Done</x:v>
      </x:c>
      <x:c r="H7" s="15" t="str">
        <x:v>5.3</x:v>
      </x:c>
      <x:c r="I7" s="15" t="str">
        <x:v>Software</x:v>
      </x:c>
      <x:c r="J7" s="15" t="str">
        <x:v>SEC-033</x:v>
      </x:c>
      <x:c r="K7" s="15" t="str">
        <x:v>Old/new overlap is explicit; outbound traffic names the active key; removed keys fail closed; witness quorum operations pin one immutable snapshot</x:v>
      </x:c>
      <x:c r="L7" s="15" t="str">
        <x:v>8 rotation regressions + live witness rotation + 500-test release suite + 2/2 CTest</x:v>
      </x:c>
      <x:c r="M7" s="15" t="str">
        <x:v>Critical</x:v>
      </x:c>
      <x:c r="N7" s="15" t="str">
        <x:v>docs/astra-checkpoint-35-validation.md</x:v>
      </x:c>
      <x:c r="O7" s="15" t="n">
        <x:f>IF(G7="Done",0,IF(F7="P0",400,IF(F7="P6",300,IF(F7="P7",200,100)))+IF(G7="In Progress",60,IF(G7="Ready",50,IF(G7="Backlog",30,IF(G7="Blocked",10,0))))+IF(M7="Critical",20,IF(M7="High",10,0)))</x:f>
        <x:v>0</x:v>
      </x:c>
    </x:row>
    <x:row r="8" ht="26.399999618530273" hidden="0" customHeight="1">
      <x:c r="A8" s="15" t="str">
        <x:v>SEC-037</x:v>
      </x:c>
      <x:c r="B8" s="15" t="str">
        <x:v>Security</x:v>
      </x:c>
      <x:c r="C8" s="15" t="str">
        <x:v>Performance</x:v>
      </x:c>
      <x:c r="D8" s="15" t="str">
        <x:v>Controller workload and rate-policy qualification</x:v>
      </x:c>
      <x:c r="E8" s="15" t="str">
        <x:v>Qualify representative controller HTTP bursts separately from abusive-rate containment without claiming physical controller timing</x:v>
      </x:c>
      <x:c r="F8" s="15" t="str">
        <x:v>P0</x:v>
      </x:c>
      <x:c r="G8" s="15" t="str">
        <x:v>Done</x:v>
      </x:c>
      <x:c r="H8" s="15" t="str">
        <x:v>5.3</x:v>
      </x:c>
      <x:c r="I8" s="15" t="str">
        <x:v>Qualification</x:v>
      </x:c>
      <x:c r="J8" s="15" t="str">
        <x:v>SEC-033, SEC-038</x:v>
      </x:c>
      <x:c r="K8" s="15" t="str">
        <x:v>Deterministic rate model admits representative controller workload beside an abusive peer; live local reference meets normal p95 gate and produces explicit throttling under abuse</x:v>
      </x:c>
      <x:c r="L8" s="15" t="str">
        <x:v>400/400 model controller requests admitted; 802 abusive rejected; live 120/120 normal at 22.903 ms p95; 33/320 abuse requests throttled</x:v>
      </x:c>
      <x:c r="M8" s="15" t="str">
        <x:v>Critical</x:v>
      </x:c>
      <x:c r="N8" s="15" t="str">
        <x:v>docs/astra-checkpoint-38-validation.md</x:v>
      </x:c>
      <x:c r="O8" s="15" t="n">
        <x:f>IF(G8="Done",0,IF(F8="P0",400,IF(F8="P7",300,IF(F8="P8",200,100)))+IF(G8="In Progress",60,IF(G8="Ready",50,IF(G8="Backlog",30,IF(G8="Blocked",10,0))))+IF(M8="Critical",20,IF(M8="High",10,0)))</x:f>
        <x:v>0</x:v>
      </x:c>
    </x:row>
    <x:row r="9" ht="39.599998474121094" hidden="0" customHeight="1">
      <x:c r="A9" s="15" t="str">
        <x:v>SEC-038</x:v>
      </x:c>
      <x:c r="B9" s="15" t="str">
        <x:v>Security</x:v>
      </x:c>
      <x:c r="C9" s="15" t="str">
        <x:v>Backend</x:v>
      </x:c>
      <x:c r="D9" s="15" t="str">
        <x:v>Backend operation-cost bounds</x:v>
      </x:c>
      <x:c r="E9" s="15" t="str">
        <x:v>Prevent known expensive authenticated operations from exhausting the HTTP worker pool or starving ordinary control traffic</x:v>
      </x:c>
      <x:c r="F9" s="15" t="str">
        <x:v>P0</x:v>
      </x:c>
      <x:c r="G9" s="15" t="str">
        <x:v>Done</x:v>
      </x:c>
      <x:c r="H9" s="15" t="str">
        <x:v>5.3</x:v>
      </x:c>
      <x:c r="I9" s="15" t="str">
        <x:v>Software</x:v>
      </x:c>
      <x:c r="J9" s="15" t="str">
        <x:v>SEC-033</x:v>
      </x:c>
      <x:c r="K9" s="15" t="str">
        <x:v>Known expensive routes have explicit non-blocking total/class admission budgets; saturation rejects before body execution and slots are reclaimed on failure</x:v>
      </x:c>
      <x:c r="L9" s="15" t="str">
        <x:v>4 operation-cost regressions; 510-test release suite; 2/2 native CTest; 117 schemas/OpenAPI; 7 JS syntax checks</x:v>
      </x:c>
      <x:c r="M9" s="15" t="str">
        <x:v>Critical</x:v>
      </x:c>
      <x:c r="N9" s="15" t="str">
        <x:v>docs/astra-checkpoint-37-validation.md</x:v>
      </x:c>
      <x:c r="O9" s="15" t="n">
        <x:f>IF(G9="Done",0,IF(F9="P0",400,IF(F9="P8",300,IF(F9="P9",200,100)))+IF(G9="In Progress",60,IF(G9="Ready",50,IF(G9="Backlog",30,IF(G9="Blocked",10,0))))+IF(M9="Critical",20,IF(M9="High",10,0)))</x:f>
        <x:v>0</x:v>
      </x:c>
    </x:row>
    <x:row r="10" ht="26.399999618530273" hidden="0" customHeight="1">
      <x:c r="A10" s="15" t="str">
        <x:v>SEC-039</x:v>
      </x:c>
      <x:c r="B10" s="15" t="str">
        <x:v>Security</x:v>
      </x:c>
      <x:c r="C10" s="15" t="str">
        <x:v>Witness</x:v>
      </x:c>
      <x:c r="D10" s="15" t="str">
        <x:v>Independent witness clock/failure-domain deployment qualification</x:v>
      </x:c>
      <x:c r="E10" s="15" t="str">
        <x:v>Measure the real clock, network and failure-domain assumptions that still gate production quorum/failover confidence</x:v>
      </x:c>
      <x:c r="F10" s="15" t="str">
        <x:v>P0</x:v>
      </x:c>
      <x:c r="G10" s="15" t="str">
        <x:v>Blocked</x:v>
      </x:c>
      <x:c r="H10" s="15" t="str">
        <x:v>5.3</x:v>
      </x:c>
      <x:c r="I10" s="15" t="str">
        <x:v>Qualification</x:v>
      </x:c>
      <x:c r="J10" s="15" t="str">
        <x:v>WIT-048, REC-034</x:v>
      </x:c>
      <x:c r="K10" s="15" t="str">
        <x:v>Actual witness hosts maintain the accepted skew bound and survive declared single-domain failures without manufacturing two authorities</x:v>
      </x:c>
      <x:c r="L10" s="15" t="str">
        <x:v>Real multi-host skew, partition, one-/two-witness-loss and custody/rotation exercise</x:v>
      </x:c>
      <x:c r="M10" s="15" t="str">
        <x:v>Critical</x:v>
      </x:c>
      <x:c r="N10" s="15" t="str">
        <x:v>docs/current-backlog.md priority 2</x:v>
      </x:c>
      <x:c r="O10" s="15" t="n">
        <x:f>IF(G10="Done",0,IF(F10="P0",400,IF(F10="P9",300,IF(F10="P10",200,100)))+IF(G10="In Progress",60,IF(G10="Ready",50,IF(G10="Backlog",30,IF(G10="Blocked",10,0))))+IF(M10="Critical",20,IF(M10="High",10,0)))</x:f>
        <x:v>430</x:v>
      </x:c>
    </x:row>
    <x:row r="11" ht="39.599998474121094" hidden="0" customHeight="1">
      <x:c r="A11" s="15" t="str">
        <x:v>DAW-033</x:v>
      </x:c>
      <x:c r="B11" s="15" t="str">
        <x:v>DAW</x:v>
      </x:c>
      <x:c r="C11" s="15" t="str">
        <x:v>Storage</x:v>
      </x:c>
      <x:c r="D11" s="15" t="str">
        <x:v>Power-loss recovery for temporary resources</x:v>
      </x:c>
      <x:c r="E11" s="15" t="str">
        <x:v>Make crash-visible staging, snapshots and plugin scratch conservatively recoverable without deleting replacement objects</x:v>
      </x:c>
      <x:c r="F11" s="15" t="str">
        <x:v>P1</x:v>
      </x:c>
      <x:c r="G11" s="15" t="str">
        <x:v>Done</x:v>
      </x:c>
      <x:c r="H11" s="15" t="str">
        <x:v>5.4</x:v>
      </x:c>
      <x:c r="I11" s="15" t="str">
        <x:v>Software</x:v>
      </x:c>
      <x:c r="J11" s="15" t="str">
        <x:v>Completed temporary-resource lifecycle</x:v>
      </x:c>
      <x:c r="K11" s="15" t="str">
        <x:v>Versioned fsynced owner manifests bind exact process generation to device/inode identity; legacy/malformed/replaced objects are preserved and cleanup rechecks identity before deletion</x:v>
      </x:c>
      <x:c r="L11" s="15" t="str">
        <x:v>38 focused durability tests; 524-test release suite; 2/2 RT CTest; 117 schemas/OpenAPI; 7 JS syntax checks</x:v>
      </x:c>
      <x:c r="M11" s="15" t="str">
        <x:v>High</x:v>
      </x:c>
      <x:c r="N11" s="15" t="str">
        <x:v>docs/astra-checkpoint-40-validation.md</x:v>
      </x:c>
      <x:c r="O11" s="15" t="n">
        <x:f>IF(G11="Done",0,IF(F11="P0",400,IF(F11="P10",300,IF(F11="P11",200,100)))+IF(G11="In Progress",60,IF(G11="Ready",50,IF(G11="Backlog",30,IF(G11="Blocked",10,0))))+IF(M11="Critical",20,IF(M11="High",10,0)))</x:f>
        <x:v>0</x:v>
      </x:c>
    </x:row>
    <x:row r="12" ht="26.399999618530273" hidden="0" customHeight="1">
      <x:c r="A12" s="15" t="str">
        <x:v>DAW-034</x:v>
      </x:c>
      <x:c r="B12" s="15" t="str">
        <x:v>DAW</x:v>
      </x:c>
      <x:c r="C12" s="15" t="str">
        <x:v>Storage</x:v>
      </x:c>
      <x:c r="D12" s="15" t="str">
        <x:v>Parent-directory durability for published recordings</x:v>
      </x:c>
      <x:c r="E12" s="15" t="str">
        <x:v>Raise recording publication from file-sync durability to explicit parent-directory durability on Linux</x:v>
      </x:c>
      <x:c r="F12" s="15" t="str">
        <x:v>P1</x:v>
      </x:c>
      <x:c r="G12" s="15" t="str">
        <x:v>Done</x:v>
      </x:c>
      <x:c r="H12" s="15" t="str">
        <x:v>5.4</x:v>
      </x:c>
      <x:c r="I12" s="15" t="str">
        <x:v>Software</x:v>
      </x:c>
      <x:c r="J12" s="15" t="str">
        <x:v>DAW-033</x:v>
      </x:c>
      <x:c r="K12" s="15" t="str">
        <x:v>Completed WAV bytes are fsynced; non-replacing hard-link publication and partial cleanup each have explicit parent-directory sync ordering with retry-safe failure behavior</x:v>
      </x:c>
      <x:c r="L12" s="15" t="str">
        <x:v>20 focused recording tests; 527-test release suite; 2/2 RT CTest; 117 schemas/OpenAPI; 7 JS syntax checks</x:v>
      </x:c>
      <x:c r="M12" s="15" t="str">
        <x:v>High</x:v>
      </x:c>
      <x:c r="N12" s="15" t="str">
        <x:v>docs/astra-checkpoint-41-validation.md</x:v>
      </x:c>
      <x:c r="O12" s="15" t="n">
        <x:f>IF(G12="Done",0,IF(F12="P0",400,IF(F12="P11",300,IF(F12="P12",200,100)))+IF(G12="In Progress",60,IF(G12="Ready",50,IF(G12="Backlog",30,IF(G12="Blocked",10,0))))+IF(M12="Critical",20,IF(M12="High",10,0)))</x:f>
        <x:v>0</x:v>
      </x:c>
    </x:row>
    <x:row r="13" ht="26.399999618530273" hidden="0" customHeight="1">
      <x:c r="A13" s="15" t="str">
        <x:v>DAW-035</x:v>
      </x:c>
      <x:c r="B13" s="15" t="str">
        <x:v>DAW</x:v>
      </x:c>
      <x:c r="C13" s="15" t="str">
        <x:v>Playback</x:v>
      </x:c>
      <x:c r="D13" s="15" t="str">
        <x:v>Sample-exact loop wraps and arbitrary loop lengths</x:v>
      </x:c>
      <x:c r="E13" s="15" t="str">
        <x:v>Allow any positive arrangement/clip loop span while preserving exact software wrap position through fixed-size producer/native blocks</x:v>
      </x:c>
      <x:c r="F13" s="15" t="str">
        <x:v>P1</x:v>
      </x:c>
      <x:c r="G13" s="15" t="str">
        <x:v>Done</x:v>
      </x:c>
      <x:c r="H13" s="15" t="str">
        <x:v>5.4</x:v>
      </x:c>
      <x:c r="I13" s="15" t="str">
        <x:v>Software</x:v>
      </x:c>
      <x:c r="J13" s="15" t="str">
        <x:v>DAW playback producer + native queue</x:v>
      </x:c>
      <x:c r="K13" s="15" t="str">
        <x:v>Producer wraps exact source slices inside a block without silence padding; clip loops keep exact length; native playhead advances modulo the exact span and counts multiple wraps</x:v>
      </x:c>
      <x:c r="L13" s="15" t="str">
        <x:v>529-test release suite; 2/2 RT CTest; focused 3-frame/8-frame, 257-frame clip and live 300-frame loop regressions</x:v>
      </x:c>
      <x:c r="M13" s="15" t="str">
        <x:v>High</x:v>
      </x:c>
      <x:c r="N13" s="15" t="str">
        <x:v>docs/astra-checkpoint-42-validation.md</x:v>
      </x:c>
      <x:c r="O13" s="15" t="n">
        <x:f>IF(G13="Done",0,IF(F13="P0",400,IF(F13="P12",300,IF(F13="P13",200,100)))+IF(G13="In Progress",60,IF(G13="Ready",50,IF(G13="Backlog",30,IF(G13="Blocked",10,0))))+IF(M13="Critical",20,IF(M13="High",10,0)))</x:f>
        <x:v>0</x:v>
      </x:c>
    </x:row>
    <x:row r="14" ht="26.399999618530273" hidden="0" customHeight="1">
      <x:c r="A14" s="15" t="str">
        <x:v>AUD-033</x:v>
      </x:c>
      <x:c r="B14" s="15" t="str">
        <x:v>Audio</x:v>
      </x:c>
      <x:c r="C14" s="15" t="str">
        <x:v>Native</x:v>
      </x:c>
      <x:c r="D14" s="15" t="str">
        <x:v>Linux integer + multichannel physical PCM conversion adapters</x:v>
      </x:c>
      <x:c r="E14" s="15" t="str">
        <x:v>Execute explicit Linux ALSA integer-format and channel-layout plans on the live playback/capture path</x:v>
      </x:c>
      <x:c r="F14" s="15" t="str">
        <x:v>P0</x:v>
      </x:c>
      <x:c r="G14" s="15" t="str">
        <x:v>Done</x:v>
      </x:c>
      <x:c r="H14" s="15" t="str">
        <x:v>5.2</x:v>
      </x:c>
      <x:c r="I14" s="15" t="str">
        <x:v>Software</x:v>
      </x:c>
      <x:c r="J14" s="15" t="str">
        <x:v>Linux audio negotiation contract</x:v>
      </x:c>
      <x:c r="K14" s="15" t="str">
        <x:v>FLOAT_LE, S16_LE, S24_3LE and S32_LE plus explicit mono/multichannel matrices execute with preallocated bounded conversion and no silent fallback</x:v>
      </x:c>
      <x:c r="L14" s="15" t="str">
        <x:v>516-test release suite; 2/2 RT native CTest; live ALSA-null 4ch S16 playback + 4ch S24_3LE capture</x:v>
      </x:c>
      <x:c r="M14" s="15" t="str">
        <x:v>Critical</x:v>
      </x:c>
      <x:c r="N14" s="15" t="str">
        <x:v>docs/astra-checkpoint-39-validation.md</x:v>
      </x:c>
      <x:c r="O14" s="15" t="n">
        <x:f>IF(G14="Done",0,IF(F14="P0",400,IF(F14="P13",300,IF(F14="P14",200,100)))+IF(G14="In Progress",60,IF(G14="Ready",50,IF(G14="Backlog",30,IF(G14="Blocked",10,0))))+IF(M14="Critical",20,IF(M14="High",10,0)))</x:f>
        <x:v>0</x:v>
      </x:c>
    </x:row>
    <x:row r="15" ht="26.399999618530273" hidden="0" customHeight="1">
      <x:c r="A15" s="15" t="str">
        <x:v>AUD-034</x:v>
      </x:c>
      <x:c r="B15" s="15" t="str">
        <x:v>Audio</x:v>
      </x:c>
      <x:c r="C15" s="15" t="str">
        <x:v>QA</x:v>
      </x:c>
      <x:c r="D15" s="15" t="str">
        <x:v>Conversion quality measurement</x:v>
      </x:c>
      <x:c r="E15" s="15" t="str">
        <x:v>Quantify noise, distortion, phase continuity and resampling quality across supported conversions</x:v>
      </x:c>
      <x:c r="F15" s="15" t="str">
        <x:v>P0</x:v>
      </x:c>
      <x:c r="G15" s="15" t="str">
        <x:v>Blocked</x:v>
      </x:c>
      <x:c r="H15" s="15" t="str">
        <x:v>6.0</x:v>
      </x:c>
      <x:c r="I15" s="15" t="str">
        <x:v>Qualification</x:v>
      </x:c>
      <x:c r="J15" s="15" t="str">
        <x:v>AUD-033</x:v>
      </x:c>
      <x:c r="K15" s="15" t="str">
        <x:v>Published numeric error/SNR/THD+N/continuity envelope for each supported conversion path</x:v>
      </x:c>
      <x:c r="L15" s="15" t="str">
        <x:v>Reference-signal measurement suite</x:v>
      </x:c>
      <x:c r="M15" s="15" t="str">
        <x:v>Critical</x:v>
      </x:c>
      <x:c r="N15" s="15" t="str">
        <x:v>docs/current-backlog.md priority 4</x:v>
      </x:c>
      <x:c r="O15" s="15" t="n">
        <x:f>IF(G15="Done",0,IF(F15="P0",400,IF(F15="P14",300,IF(F15="P15",200,100)))+IF(G15="In Progress",60,IF(G15="Ready",50,IF(G15="Backlog",30,IF(G15="Blocked",10,0))))+IF(M15="Critical",20,IF(M15="High",10,0)))</x:f>
        <x:v>430</x:v>
      </x:c>
    </x:row>
    <x:row r="16" ht="162" hidden="0" customHeight="1">
      <x:c r="A16" s="15" t="str">
        <x:v>AUD-035</x:v>
      </x:c>
      <x:c r="B16" s="15" t="str">
        <x:v>Audio</x:v>
      </x:c>
      <x:c r="C16" s="15" t="str">
        <x:v>Platform</x:v>
      </x:c>
      <x:c r="D16" s="15" t="str">
        <x:v>Windows exact audio preflight/configuration + stream adapter</x:v>
      </x:c>
      <x:c r="E16" s="15" t="str">
        <x:v>Implement WASAPI endpoint capability/configuration evidence and physical stream open/close using checkpoint-58 backend-neutral fencing</x:v>
      </x:c>
      <x:c r="F16" s="15" t="str">
        <x:v>P0</x:v>
      </x:c>
      <x:c r="G16" s="15" t="str">
        <x:v>In Progress</x:v>
      </x:c>
      <x:c r="H16" s="15" t="str">
        <x:v>5.5</x:v>
      </x:c>
      <x:c r="I16" s="15" t="str">
        <x:v>Software</x:v>
      </x:c>
      <x:c r="J16" s="15" t="str">
        <x:v>AUD-033, Checkpoint 58 runtime fencing</x:v>
      </x:c>
      <x:c r="K16" s="15" t="str">
        <x:v>Windows adapter reports requested/configured rate/period/channels/format exactly, applies only explicit conversion plans, and uses shared post-start identity revalidation/stop-on-loss</x:v>
      </x:c>
      <x:c r="L16" s="15" t="str">
        <x:v>Checkpoint 78 hosted Windows passes lifecycle, stale-generation, pending-stop and explicit-rearm contracts. No native Windows renderer or endpoints are available. WASAPI configuration application, actual start/stop, callback ownership and engine integration remain open.</x:v>
      </x:c>
      <x:c r="M16" s="15" t="str">
        <x:v>Critical</x:v>
      </x:c>
      <x:c r="N16" s="15" t="str">
        <x:v>Checkpoint 78 PR #13; code ec7bd4e4dc2977ac578048a8a95509a14ebcc1cd; https://github.com/colinatwood/stageforge/actions/runs/34904550438</x:v>
      </x:c>
      <x:c r="O16" s="15" t="n">
        <x:f>IF(G16="Done",0,IF(F16="P0",400,IF(F16="P15",300,IF(F16="P16",200,100)))+IF(G16="In Progress",60,IF(G16="Ready",50,IF(G16="Backlog",30,IF(G16="Blocked",10,0))))+IF(M16="Critical",20,IF(M16="High",10,0)))</x:f>
        <x:v>480</x:v>
      </x:c>
    </x:row>
    <x:row r="17" ht="162" hidden="0" customHeight="1">
      <x:c r="A17" s="15" t="str">
        <x:v>AUD-036</x:v>
      </x:c>
      <x:c r="B17" s="15" t="str">
        <x:v>Audio</x:v>
      </x:c>
      <x:c r="C17" s="15" t="str">
        <x:v>Platform</x:v>
      </x:c>
      <x:c r="D17" s="15" t="str">
        <x:v>macOS exact audio preflight/configuration + stream adapter</x:v>
      </x:c>
      <x:c r="E17" s="15" t="str">
        <x:v>Implement CoreAudio capability/configuration evidence and physical stream open/close using checkpoint-58 backend-neutral fencing</x:v>
      </x:c>
      <x:c r="F17" s="15" t="str">
        <x:v>P0</x:v>
      </x:c>
      <x:c r="G17" s="15" t="str">
        <x:v>In Progress</x:v>
      </x:c>
      <x:c r="H17" s="15" t="str">
        <x:v>5.5</x:v>
      </x:c>
      <x:c r="I17" s="15" t="str">
        <x:v>Software</x:v>
      </x:c>
      <x:c r="J17" s="15" t="str">
        <x:v>AUD-033, Checkpoint 58 runtime fencing</x:v>
      </x:c>
      <x:c r="K17" s="15" t="str">
        <x:v>CoreAudio adapter reports requested/configured rate/buffer/channels/format exactly, applies only explicit conversion plans, and uses shared post-start identity revalidation/stop-on-loss</x:v>
      </x:c>
      <x:c r="L17" s="15" t="str">
        <x:v>Checkpoint 78 macOS ASan: Generic Output start/stop/restart and manual rendering passed (18 callbacks, 4608 frames); revoked callback emits silence. This is software rendering without a device clock. Endpoint configuration/I/O, asynchronous callback ownership and engine integration remain open.</x:v>
      </x:c>
      <x:c r="M17" s="15" t="str">
        <x:v>Critical</x:v>
      </x:c>
      <x:c r="N17" s="15" t="str">
        <x:v>Checkpoint 78 PR #13; code ec7bd4e4dc2977ac578048a8a95509a14ebcc1cd; https://github.com/colinatwood/stageforge/actions/runs/34904550438</x:v>
      </x:c>
      <x:c r="O17" s="15" t="n">
        <x:f>IF(G17="Done",0,IF(F17="P0",400,IF(F17="P16",300,IF(F17="P17",200,100)))+IF(G17="In Progress",60,IF(G17="Ready",50,IF(G17="Backlog",30,IF(G17="Blocked",10,0))))+IF(M17="Critical",20,IF(M17="High",10,0)))</x:f>
        <x:v>480</x:v>
      </x:c>
    </x:row>
    <x:row r="18" ht="162" hidden="0" customHeight="1">
      <x:c r="A18" s="15" t="str">
        <x:v>DEV-033</x:v>
      </x:c>
      <x:c r="B18" s="15" t="str">
        <x:v>Devices</x:v>
      </x:c>
      <x:c r="C18" s="15" t="str">
        <x:v>Platform</x:v>
      </x:c>
      <x:c r="D18" s="15" t="str">
        <x:v>Windows audio/MIDI enumeration + hotplug integration</x:v>
      </x:c>
      <x:c r="E18" s="15" t="str">
        <x:v>Feed real Windows endpoint/MIDI enumeration and change notifications into the checkpoint-57 fail-closed lifecycle reconciler</x:v>
      </x:c>
      <x:c r="F18" s="15" t="str">
        <x:v>P0</x:v>
      </x:c>
      <x:c r="G18" s="15" t="str">
        <x:v>In Progress</x:v>
      </x:c>
      <x:c r="H18" s="15" t="str">
        <x:v>5.5</x:v>
      </x:c>
      <x:c r="I18" s="15" t="str">
        <x:v>Software</x:v>
      </x:c>
      <x:c r="J18" s="15" t="str">
        <x:v>Checkpoints 75/76 native identity resolver and execution fence; full-engine integration remains</x:v>
      </x:c>
      <x:c r="K18" s="15" t="str">
        <x:v>Windows platform adapters provide persistence-grade identities where available; disconnect/identity change stops unsafe streams, ambiguity blocks rebind, and strong identity may reattach only to one exact replacement</x:v>
      </x:c>
      <x:c r="L18" s="15" t="str">
        <x:v>Checkpoints 75-78 native identity, execution fence and guarded lifecycle contracts pass. Pending native stop cannot be cleared by recovery or close. Windows has zero endpoints; stable-ID/events, native MIDI and engine/stream integration remain open.</x:v>
      </x:c>
      <x:c r="M18" s="15" t="str">
        <x:v>Critical</x:v>
      </x:c>
      <x:c r="N18" s="15" t="str">
        <x:v>Checkpoint 78 PR #13; code ec7bd4e4dc2977ac578048a8a95509a14ebcc1cd; https://github.com/colinatwood/stageforge/actions/runs/34904550438</x:v>
      </x:c>
      <x:c r="O18" s="15" t="n">
        <x:f>IF(G18="Done",0,IF(F18="P0",400,IF(F18="P17",300,IF(F18="P18",200,100)))+IF(G18="In Progress",60,IF(G18="Ready",50,IF(G18="Backlog",30,IF(G18="Blocked",10,0))))+IF(M18="Critical",20,IF(M18="High",10,0)))</x:f>
        <x:v>480</x:v>
      </x:c>
    </x:row>
    <x:row r="19" ht="162" hidden="0" customHeight="1">
      <x:c r="A19" s="15" t="str">
        <x:v>DEV-034</x:v>
      </x:c>
      <x:c r="B19" s="15" t="str">
        <x:v>Devices</x:v>
      </x:c>
      <x:c r="C19" s="15" t="str">
        <x:v>Platform</x:v>
      </x:c>
      <x:c r="D19" s="15" t="str">
        <x:v>macOS audio/MIDI enumeration + hotplug integration</x:v>
      </x:c>
      <x:c r="E19" s="15" t="str">
        <x:v>Feed real CoreAudio/CoreMIDI enumeration and change notifications into the checkpoint-57 fail-closed lifecycle reconciler</x:v>
      </x:c>
      <x:c r="F19" s="15" t="str">
        <x:v>P0</x:v>
      </x:c>
      <x:c r="G19" s="15" t="str">
        <x:v>In Progress</x:v>
      </x:c>
      <x:c r="H19" s="15" t="str">
        <x:v>5.5</x:v>
      </x:c>
      <x:c r="I19" s="15" t="str">
        <x:v>Software</x:v>
      </x:c>
      <x:c r="J19" s="15" t="str">
        <x:v>Checkpoints 75/76 CoreAudio/CoreMIDI identity resolver and execution fence; full-engine integration remains</x:v>
      </x:c>
      <x:c r="K19" s="15" t="str">
        <x:v>CoreAudio/CoreMIDI adapters provide hashed persistent identities; disconnect/identity change stops unsafe streams, ambiguity blocks rebind, and recovery remains explicit when evidence weakens</x:v>
      </x:c>
      <x:c r="L19" s="15" t="str">
        <x:v>CoreAudio/CoreMIDI software identity/events and explicit-rearm fencing pass. Checkpoint 78 adds guarded lifecycle plus synchronous Generic Output fenced silence/restart under ASan. Per-device listeners, real stream-stop/reselection and engine integration remain open.</x:v>
      </x:c>
      <x:c r="M19" s="15" t="str">
        <x:v>Critical</x:v>
      </x:c>
      <x:c r="N19" s="15" t="str">
        <x:v>Checkpoint 78 PR #13; code ec7bd4e4dc2977ac578048a8a95509a14ebcc1cd; https://github.com/colinatwood/stageforge/actions/runs/34904550438</x:v>
      </x:c>
      <x:c r="O19" s="15" t="n">
        <x:f>IF(G19="Done",0,IF(F19="P0",400,IF(F19="P18",300,IF(F19="P19",200,100)))+IF(G19="In Progress",60,IF(G19="Ready",50,IF(G19="Backlog",30,IF(G19="Blocked",10,0))))+IF(M19="Critical",20,IF(M19="High",10,0)))</x:f>
        <x:v>480</x:v>
      </x:c>
    </x:row>
    <x:row r="20" ht="26.399999618530273" hidden="0" customHeight="1">
      <x:c r="A20" s="15" t="str">
        <x:v>DEV-035</x:v>
      </x:c>
      <x:c r="B20" s="15" t="str">
        <x:v>Devices</x:v>
      </x:c>
      <x:c r="C20" s="15" t="str">
        <x:v>QA</x:v>
      </x:c>
      <x:c r="D20" s="15" t="str">
        <x:v>Physical hotplug qualification</x:v>
      </x:c>
      <x:c r="E20" s="15" t="str">
        <x:v>Measure repeated unplug/replug/re-enumeration behavior on named devices</x:v>
      </x:c>
      <x:c r="F20" s="15" t="str">
        <x:v>P0</x:v>
      </x:c>
      <x:c r="G20" s="15" t="str">
        <x:v>Deferred</x:v>
      </x:c>
      <x:c r="H20" s="15" t="str">
        <x:v>6.0</x:v>
      </x:c>
      <x:c r="I20" s="15" t="str">
        <x:v>Qualification</x:v>
      </x:c>
      <x:c r="J20" s="15" t="str">
        <x:v>DEV-033, DEV-034</x:v>
      </x:c>
      <x:c r="K20" s="15" t="str">
        <x:v>No crash, stale authority, accidental re-arm or identity confusion across repeated device churn</x:v>
      </x:c>
      <x:c r="L20" s="15" t="str">
        <x:v>Named-device hotplug soak</x:v>
      </x:c>
      <x:c r="M20" s="15" t="str">
        <x:v>Critical</x:v>
      </x:c>
      <x:c r="N20" s="15" t="str">
        <x:v>docs/current-backlog.md priority 5</x:v>
      </x:c>
      <x:c r="O20" s="15" t="n">
        <x:f>IF(G20="Done",0,IF(F20="P0",400,IF(F20="P19",300,IF(F20="P20",200,100)))+IF(G20="In Progress",60,IF(G20="Ready",50,IF(G20="Backlog",30,IF(G20="Blocked",10,0))))+IF(M20="Critical",20,IF(M20="High",10,0)))</x:f>
        <x:v>420</x:v>
      </x:c>
    </x:row>
    <x:row r="21" ht="39.599998474121094" hidden="0" customHeight="1">
      <x:c r="A21" s="15" t="str">
        <x:v>DRV-033</x:v>
      </x:c>
      <x:c r="B21" s="15" t="str">
        <x:v>Driver Compatibility</x:v>
      </x:c>
      <x:c r="C21" s="15" t="str">
        <x:v>Data</x:v>
      </x:c>
      <x:c r="D21" s="15" t="str">
        <x:v>Reviewed vendor driver catalog entries</x:v>
      </x:c>
      <x:c r="E21" s="15" t="str">
        <x:v>Maintain a small provenance-bearing package-metadata catalog with proactive expiry auditing, without turning package records into compatibility or qualification claims</x:v>
      </x:c>
      <x:c r="F21" s="15" t="str">
        <x:v>P1</x:v>
      </x:c>
      <x:c r="G21" s="15" t="str">
        <x:v>Done</x:v>
      </x:c>
      <x:c r="H21" s="15" t="str">
        <x:v>5.3</x:v>
      </x:c>
      <x:c r="I21" s="15" t="str">
        <x:v>Software</x:v>
      </x:c>
      <x:c r="J21" s="15" t="str">
        <x:v>Existing exact catalog matching</x:v>
      </x:c>
      <x:c r="K21" s="15" t="str">
        <x:v>Current exact entries carry product/version/platform/review-expiry/confidence and multi-source evidence; offline audit surfaces due/stale/unreviewed/invalid records before expiry</x:v>
      </x:c>
      <x:c r="L21" s="15" t="str">
        <x:v>Five reviewed Windows records; 10/10 driver catalog/audit tests; 572-test release suite; installed audit CLI</x:v>
      </x:c>
      <x:c r="M21" s="15" t="str">
        <x:v>Medium</x:v>
      </x:c>
      <x:c r="N21" s="15" t="str">
        <x:v>docs/astra-checkpoint-53-validation.md</x:v>
      </x:c>
      <x:c r="O21" s="15" t="n">
        <x:f>IF(G21="Done",0,IF(F21="P0",400,IF(F21="P20",300,IF(F21="P21",200,100)))+IF(G21="In Progress",60,IF(G21="Ready",50,IF(G21="Backlog",30,IF(G21="Blocked",10,0))))+IF(M21="Critical",20,IF(M21="High",10,0)))</x:f>
        <x:v>0</x:v>
      </x:c>
    </x:row>
    <x:row r="22" ht="26.399999618530273" hidden="0" customHeight="1">
      <x:c r="A22" s="15" t="str">
        <x:v>DRV-034</x:v>
      </x:c>
      <x:c r="B22" s="15" t="str">
        <x:v>Driver Compatibility</x:v>
      </x:c>
      <x:c r="C22" s="15" t="str">
        <x:v>Platform</x:v>
      </x:c>
      <x:c r="D22" s="15" t="str">
        <x:v>Windows endpoint/driver evidence adapter</x:v>
      </x:c>
      <x:c r="E22" s="15" t="str">
        <x:v>Map Windows AudioEndpoint presence and installed signed MEDIA-driver identity into the diagnostics model without exposing full instance identifiers</x:v>
      </x:c>
      <x:c r="F22" s="15" t="str">
        <x:v>P1</x:v>
      </x:c>
      <x:c r="G22" s="15" t="str">
        <x:v>Done</x:v>
      </x:c>
      <x:c r="H22" s="15" t="str">
        <x:v>5.5</x:v>
      </x:c>
      <x:c r="I22" s="15" t="str">
        <x:v>Software</x:v>
      </x:c>
      <x:c r="J22" s="15" t="str">
        <x:v>DRV-033</x:v>
      </x:c>
      <x:c r="K22" s="15" t="str">
        <x:v>Endpoint hashes, safe VID/PID and installed provider/version/INF/signature evidence remain distinct from reviewed package metadata and never authorize installation</x:v>
      </x:c>
      <x:c r="L22" s="15" t="str">
        <x:v>Fixed read-only PowerShell adapter + privacy/failure-isolation fixtures; real Windows host execution remains qualification</x:v>
      </x:c>
      <x:c r="M22" s="15" t="str">
        <x:v>High</x:v>
      </x:c>
      <x:c r="N22" s="15" t="str">
        <x:v>docs/astra-checkpoint-55-validation.md</x:v>
      </x:c>
      <x:c r="O22" s="15" t="n">
        <x:f>IF(G22="Done",0,IF(F22="P0",400,IF(F22="P21",300,IF(F22="P22",200,100)))+IF(G22="In Progress",60,IF(G22="Ready",50,IF(G22="Backlog",30,IF(G22="Blocked",10,0))))+IF(M22="Critical",20,IF(M22="High",10,0)))</x:f>
        <x:v>0</x:v>
      </x:c>
    </x:row>
    <x:row r="23" ht="26.399999618530273" hidden="0" customHeight="1">
      <x:c r="A23" s="15" t="str">
        <x:v>DRV-035</x:v>
      </x:c>
      <x:c r="B23" s="15" t="str">
        <x:v>Driver Compatibility</x:v>
      </x:c>
      <x:c r="C23" s="15" t="str">
        <x:v>Platform</x:v>
      </x:c>
      <x:c r="D23" s="15" t="str">
        <x:v>macOS endpoint/driver evidence adapter</x:v>
      </x:c>
      <x:c r="E23" s="15" t="str">
        <x:v>Represent CoreAudio device evidence in the diagnostics model without inventing Windows-style package semantics</x:v>
      </x:c>
      <x:c r="F23" s="15" t="str">
        <x:v>P1</x:v>
      </x:c>
      <x:c r="G23" s="15" t="str">
        <x:v>Done</x:v>
      </x:c>
      <x:c r="H23" s="15" t="str">
        <x:v>5.5</x:v>
      </x:c>
      <x:c r="I23" s="15" t="str">
        <x:v>Software</x:v>
      </x:c>
      <x:c r="J23" s="15" t="str">
        <x:v>DRV-033</x:v>
      </x:c>
      <x:c r="K23" s="15" t="str">
        <x:v>CoreAudio device UID material is hashed; manufacturer/transport/channel hints are normalized when present; package/INF/version claims remain absent</x:v>
      </x:c>
      <x:c r="L23" s="15" t="str">
        <x:v>system_profiler SPAudioDataType fixture/integration coverage; real macOS host execution remains qualification</x:v>
      </x:c>
      <x:c r="M23" s="15" t="str">
        <x:v>High</x:v>
      </x:c>
      <x:c r="N23" s="15" t="str">
        <x:v>docs/astra-checkpoint-55-validation.md</x:v>
      </x:c>
      <x:c r="O23" s="15" t="n">
        <x:f>IF(G23="Done",0,IF(F23="P0",400,IF(F23="P22",300,IF(F23="P23",200,100)))+IF(G23="In Progress",60,IF(G23="Ready",50,IF(G23="Backlog",30,IF(G23="Blocked",10,0))))+IF(M23="Critical",20,IF(M23="High",10,0)))</x:f>
        <x:v>0</x:v>
      </x:c>
    </x:row>
    <x:row r="24" ht="26.399999618530273" hidden="0" customHeight="1">
      <x:c r="A24" s="15" t="str">
        <x:v>LIVE-033</x:v>
      </x:c>
      <x:c r="B24" s="15" t="str">
        <x:v>Live Audio</x:v>
      </x:c>
      <x:c r="C24" s="15" t="str">
        <x:v>QA</x:v>
      </x:c>
      <x:c r="D24" s="15" t="str">
        <x:v>Physical/audible streaming-voice soak</x:v>
      </x:c>
      <x:c r="E24" s="15" t="str">
        <x:v>Validate the 16-voice streaming engine under real storage/audio timing</x:v>
      </x:c>
      <x:c r="F24" s="15" t="str">
        <x:v>P0</x:v>
      </x:c>
      <x:c r="G24" s="15" t="str">
        <x:v>Deferred</x:v>
      </x:c>
      <x:c r="H24" s="15" t="str">
        <x:v>6.0</x:v>
      </x:c>
      <x:c r="I24" s="15" t="str">
        <x:v>Qualification</x:v>
      </x:c>
      <x:c r="J24" s="15" t="str">
        <x:v>Software streaming voice engine complete</x:v>
      </x:c>
      <x:c r="K24" s="15" t="str">
        <x:v>No callback I/O, bounded starvation evidence, acceptable audible behavior and sustained xrun envelope</x:v>
      </x:c>
      <x:c r="L24" s="15" t="str">
        <x:v>Long-duration named-hardware soak</x:v>
      </x:c>
      <x:c r="M24" s="15" t="str">
        <x:v>Critical</x:v>
      </x:c>
      <x:c r="N24" s="15" t="str">
        <x:v>docs/current-backlog.md priority 7</x:v>
      </x:c>
      <x:c r="O24" s="15" t="n">
        <x:f>IF(G24="Done",0,IF(F24="P0",400,IF(F24="P23",300,IF(F24="P24",200,100)))+IF(G24="In Progress",60,IF(G24="Ready",50,IF(G24="Backlog",30,IF(G24="Blocked",10,0))))+IF(M24="Critical",20,IF(M24="High",10,0)))</x:f>
        <x:v>420</x:v>
      </x:c>
    </x:row>
    <x:row r="25" ht="26.399999618530273" hidden="0" customHeight="1">
      <x:c r="A25" s="15" t="str">
        <x:v>PLUG-033</x:v>
      </x:c>
      <x:c r="B25" s="15" t="str">
        <x:v>Plugins</x:v>
      </x:c>
      <x:c r="C25" s="15" t="str">
        <x:v>QA</x:v>
      </x:c>
      <x:c r="D25" s="15" t="str">
        <x:v>Real-plugin live-audio qualification</x:v>
      </x:c>
      <x:c r="E25" s="15" t="str">
        <x:v>Exercise isolated plugin lifecycle, delay compensation and recovery with licensed fixtures</x:v>
      </x:c>
      <x:c r="F25" s="15" t="str">
        <x:v>P0</x:v>
      </x:c>
      <x:c r="G25" s="15" t="str">
        <x:v>Blocked</x:v>
      </x:c>
      <x:c r="H25" s="15" t="str">
        <x:v>6.0</x:v>
      </x:c>
      <x:c r="I25" s="15" t="str">
        <x:v>Qualification</x:v>
      </x:c>
      <x:c r="J25" s="15" t="str">
        <x:v>Plugin host lifecycle + delay graph</x:v>
      </x:c>
      <x:c r="K25" s="15" t="str">
        <x:v>Known plugins fail, recover and align within documented timing/latency bounds without unsafe auto-rearm</x:v>
      </x:c>
      <x:c r="L25" s="15" t="str">
        <x:v>Licensed VST3/CLAP/LV2/AU matrix</x:v>
      </x:c>
      <x:c r="M25" s="15" t="str">
        <x:v>Critical</x:v>
      </x:c>
      <x:c r="N25" s="15" t="str">
        <x:v>docs/current-backlog.md priorities 3,7,10</x:v>
      </x:c>
      <x:c r="O25" s="15" t="n">
        <x:f>IF(G25="Done",0,IF(F25="P0",400,IF(F25="P24",300,IF(F25="P25",200,100)))+IF(G25="In Progress",60,IF(G25="Ready",50,IF(G25="Backlog",30,IF(G25="Blocked",10,0))))+IF(M25="Critical",20,IF(M25="High",10,0)))</x:f>
        <x:v>430</x:v>
      </x:c>
    </x:row>
    <x:row r="26" ht="26.399999618530273" hidden="0" customHeight="1">
      <x:c r="A26" s="15" t="str">
        <x:v>UX-033</x:v>
      </x:c>
      <x:c r="B26" s="15" t="str">
        <x:v>Browser UX</x:v>
      </x:c>
      <x:c r="C26" s="15" t="str">
        <x:v>Frontend</x:v>
      </x:c>
      <x:c r="D26" s="15" t="str">
        <x:v>Rendered operator workflow acceptance</x:v>
      </x:c>
      <x:c r="E26" s="15" t="str">
        <x:v>Verify the production operator assets through a real Chromium renderer beyond static DOM and handler contracts</x:v>
      </x:c>
      <x:c r="F26" s="15" t="str">
        <x:v>P1</x:v>
      </x:c>
      <x:c r="G26" s="15" t="str">
        <x:v>Done</x:v>
      </x:c>
      <x:c r="H26" s="15" t="str">
        <x:v>5.3</x:v>
      </x:c>
      <x:c r="I26" s="15" t="str">
        <x:v>Qualification</x:v>
      </x:c>
      <x:c r="J26" s="15" t="str">
        <x:v>Served contract hardened</x:v>
      </x:c>
      <x:c r="K26" s="15" t="str">
        <x:v>Stage launcher, keyboard bypass, player selection and a safe show-state edit render and execute without browser console/page errors</x:v>
      </x:c>
      <x:c r="L26" s="15" t="str">
        <x:v>Real Chromium qualification with production HTML/CSS/JS and real-handler API bridge</x:v>
      </x:c>
      <x:c r="M26" s="15" t="str">
        <x:v>High</x:v>
      </x:c>
      <x:c r="N26" s="15" t="str">
        <x:v>docs/astra-checkpoint-54-validation.md</x:v>
      </x:c>
      <x:c r="O26" s="15" t="n">
        <x:f>IF(G26="Done",0,IF(F26="P0",400,IF(F26="P25",300,IF(F26="P26",200,100)))+IF(G26="In Progress",60,IF(G26="Ready",50,IF(G26="Backlog",30,IF(G26="Blocked",10,0))))+IF(M26="Critical",20,IF(M26="High",10,0)))</x:f>
        <x:v>0</x:v>
      </x:c>
    </x:row>
    <x:row r="27" ht="26.399999618530273" hidden="0" customHeight="1">
      <x:c r="A27" s="15" t="str">
        <x:v>UX-034</x:v>
      </x:c>
      <x:c r="B27" s="15" t="str">
        <x:v>Browser UX</x:v>
      </x:c>
      <x:c r="C27" s="15" t="str">
        <x:v>Frontend</x:v>
      </x:c>
      <x:c r="D27" s="15" t="str">
        <x:v>Responsive visual review</x:v>
      </x:c>
      <x:c r="E27" s="15" t="str">
        <x:v>Qualify layout and interaction across practical desktop/tablet/phone reference widths</x:v>
      </x:c>
      <x:c r="F27" s="15" t="str">
        <x:v>P1</x:v>
      </x:c>
      <x:c r="G27" s="15" t="str">
        <x:v>Done</x:v>
      </x:c>
      <x:c r="H27" s="15" t="str">
        <x:v>5.3</x:v>
      </x:c>
      <x:c r="I27" s="15" t="str">
        <x:v>Qualification</x:v>
      </x:c>
      <x:c r="J27" s="15" t="str">
        <x:v>UX-033</x:v>
      </x:c>
      <x:c r="K27" s="15" t="str">
        <x:v>1440×900, 1024×768, 768×1024 and 390×844 render with zero document-level horizontal overflow and visible stage controls</x:v>
      </x:c>
      <x:c r="L27" s="15" t="str">
        <x:v>Chromium screenshots + automated overflow/visibility checks</x:v>
      </x:c>
      <x:c r="M27" s="15" t="str">
        <x:v>Medium</x:v>
      </x:c>
      <x:c r="N27" s="15" t="str">
        <x:v>docs/astra-checkpoint-54-validation.md</x:v>
      </x:c>
      <x:c r="O27" s="15" t="n">
        <x:f>IF(G27="Done",0,IF(F27="P0",400,IF(F27="P26",300,IF(F27="P27",200,100)))+IF(G27="In Progress",60,IF(G27="Ready",50,IF(G27="Backlog",30,IF(G27="Blocked",10,0))))+IF(M27="Critical",20,IF(M27="High",10,0)))</x:f>
        <x:v>0</x:v>
      </x:c>
    </x:row>
    <x:row r="28" ht="26.399999618530273" hidden="0" customHeight="1">
      <x:c r="A28" s="15" t="str">
        <x:v>UX-035</x:v>
      </x:c>
      <x:c r="B28" s="15" t="str">
        <x:v>Browser UX</x:v>
      </x:c>
      <x:c r="C28" s="15" t="str">
        <x:v>Accessibility</x:v>
      </x:c>
      <x:c r="D28" s="15" t="str">
        <x:v>Assistive-technology exercise</x:v>
      </x:c>
      <x:c r="E28" s="15" t="str">
        <x:v>Exercise the checkpoint-62 browser semantics with actual screen-reader/keyboard operator workflows and decide switch/voice-control scope</x:v>
      </x:c>
      <x:c r="F28" s="15" t="str">
        <x:v>P1</x:v>
      </x:c>
      <x:c r="G28" s="15" t="str">
        <x:v>In Progress</x:v>
      </x:c>
      <x:c r="H28" s="15" t="str">
        <x:v>5.3</x:v>
      </x:c>
      <x:c r="I28" s="15" t="str">
        <x:v>Qualification</x:v>
      </x:c>
      <x:c r="J28" s="15" t="str">
        <x:v>UX-033, UX-034, Checkpoint 62 AX-tree reference</x:v>
      </x:c>
      <x:c r="K28" s="15" t="str">
        <x:v>Stage-critical workflows are operable with keyboard and at least one selected screen-reader stack without status loss; any switch/voice requirements are explicitly accepted or deferred</x:v>
      </x:c>
      <x:c r="L28" s="15" t="str">
        <x:v>NVDA/VoiceOver or equivalent AT exercise with issue log and operator workflow evidence</x:v>
      </x:c>
      <x:c r="M28" s="15" t="str">
        <x:v>High</x:v>
      </x:c>
      <x:c r="N28" s="15" t="str">
        <x:v>docs/current-backlog.md priority 8</x:v>
      </x:c>
      <x:c r="O28" s="15" t="n">
        <x:f>IF(G28="Done",0,IF(F28="P0",400,IF(F28="P27",300,IF(F28="P28",200,100)))+IF(G28="In Progress",60,IF(G28="Ready",50,IF(G28="Backlog",30,IF(G28="Blocked",10,0))))+IF(M28="Critical",20,IF(M28="High",10,0)))</x:f>
        <x:v>170</x:v>
      </x:c>
    </x:row>
    <x:row r="29" ht="26.399999618530273" hidden="0" customHeight="1">
      <x:c r="A29" s="15" t="str">
        <x:v>PKG-033</x:v>
      </x:c>
      <x:c r="B29" s="15" t="str">
        <x:v>Packaging</x:v>
      </x:c>
      <x:c r="C29" s="15" t="str">
        <x:v>Linux</x:v>
      </x:c>
      <x:c r="D29" s="15" t="str">
        <x:v>Clean-host install / upgrade / uninstall exercise</x:v>
      </x:c>
      <x:c r="E29" s="15" t="str">
        <x:v>Move checkpoint-61 isolated-rootfs reference evidence onto a genuinely clean Linux host/VM and boot the packaged services</x:v>
      </x:c>
      <x:c r="F29" s="15" t="str">
        <x:v>P0</x:v>
      </x:c>
      <x:c r="G29" s="15" t="str">
        <x:v>In Progress</x:v>
      </x:c>
      <x:c r="H29" s="15" t="str">
        <x:v>5.3</x:v>
      </x:c>
      <x:c r="I29" s="15" t="str">
        <x:v>Qualification</x:v>
      </x:c>
      <x:c r="J29" s="15" t="str">
        <x:v>Checkpoint 61 isolated-rootfs qualifier</x:v>
      </x:c>
      <x:c r="K29" s="15" t="str">
        <x:v>Fresh host install, reinstall, state preservation, service startup/health, uninstall and purge match the documented contract without hidden source-tree dependencies</x:v>
      </x:c>
      <x:c r="L29" s="15" t="str">
        <x:v>Clean VM/host exercise using the installed package qualifier plus actual service boot</x:v>
      </x:c>
      <x:c r="M29" s="15" t="str">
        <x:v>Critical</x:v>
      </x:c>
      <x:c r="N29" s="15" t="str">
        <x:v>docs/current-backlog.md priority 9</x:v>
      </x:c>
      <x:c r="O29" s="15" t="n">
        <x:f>IF(G29="Done",0,IF(F29="P0",400,IF(F29="P28",300,IF(F29="P29",200,100)))+IF(G29="In Progress",60,IF(G29="Ready",50,IF(G29="Backlog",30,IF(G29="Blocked",10,0))))+IF(M29="Critical",20,IF(M29="High",10,0)))</x:f>
        <x:v>480</x:v>
      </x:c>
    </x:row>
    <x:row r="30" ht="26.399999618530273" hidden="0" customHeight="1">
      <x:c r="A30" s="15" t="str">
        <x:v>PKG-034</x:v>
      </x:c>
      <x:c r="B30" s="15" t="str">
        <x:v>Packaging</x:v>
      </x:c>
      <x:c r="C30" s="15" t="str">
        <x:v>Linux</x:v>
      </x:c>
      <x:c r="D30" s="15" t="str">
        <x:v>Service permission + hardware namespace qualification</x:v>
      </x:c>
      <x:c r="E30" s="15" t="str">
        <x:v>Run the checkpoint-68 installed service-identity permission verifier against the exact ALSA/MIDI/UWB nodes on a clean deployment host</x:v>
      </x:c>
      <x:c r="F30" s="15" t="str">
        <x:v>P0</x:v>
      </x:c>
      <x:c r="G30" s="15" t="str">
        <x:v>In Progress</x:v>
      </x:c>
      <x:c r="H30" s="15" t="str">
        <x:v>5.3</x:v>
      </x:c>
      <x:c r="I30" s="15" t="str">
        <x:v>Qualification</x:v>
      </x:c>
      <x:c r="J30" s="15" t="str">
        <x:v>PKG-033, Checkpoint 68 device-permission verifier</x:v>
      </x:c>
      <x:c r="K30" s="15" t="str">
        <x:v>The stageforge service identity has only the documented read/write access to required character-device nodes; symlink/non-device paths fail closed and no installer step broadens host permissions automatically</x:v>
      </x:c>
      <x:c r="L30" s="15" t="str">
        <x:v>Clean-host run as stageforge using stageforge-device-permissions.py plus service/udev/group evidence</x:v>
      </x:c>
      <x:c r="M30" s="15" t="str">
        <x:v>Critical</x:v>
      </x:c>
      <x:c r="N30" s="15" t="str">
        <x:v>docs/astra-checkpoint-68-validation.md</x:v>
      </x:c>
      <x:c r="O30" s="15" t="n">
        <x:f>IF(G30="Done",0,IF(F30="P0",400,IF(F30="P29",300,IF(F30="P30",200,100)))+IF(G30="In Progress",60,IF(G30="Ready",50,IF(G30="Backlog",30,IF(G30="Blocked",10,0))))+IF(M30="Critical",20,IF(M30="High",10,0)))</x:f>
        <x:v>480</x:v>
      </x:c>
    </x:row>
    <x:row r="31" ht="26.399999618530273" hidden="0" customHeight="1">
      <x:c r="A31" s="15" t="str">
        <x:v>LEGAL-001</x:v>
      </x:c>
      <x:c r="B31" s="15" t="str">
        <x:v>Release</x:v>
      </x:c>
      <x:c r="C31" s="15" t="str">
        <x:v>Governance</x:v>
      </x:c>
      <x:c r="D31" s="15" t="str">
        <x:v>Choose and publish project license</x:v>
      </x:c>
      <x:c r="E31" s="15" t="str">
        <x:v>Remove the explicit release blocker around redistribution terms</x:v>
      </x:c>
      <x:c r="F31" s="15" t="str">
        <x:v>P0</x:v>
      </x:c>
      <x:c r="G31" s="15" t="str">
        <x:v>Blocked</x:v>
      </x:c>
      <x:c r="H31" s="15" t="str">
        <x:v>5.3</x:v>
      </x:c>
      <x:c r="I31" s="15" t="str">
        <x:v>Decision</x:v>
      </x:c>
      <x:c r="J31" s="15" t="str">
        <x:v>Owner decision</x:v>
      </x:c>
      <x:c r="K31" s="15" t="str">
        <x:v>Repository and packaged notices state one approved license consistently</x:v>
      </x:c>
      <x:c r="L31" s="15" t="str">
        <x:v>Owner approval + release-check validation</x:v>
      </x:c>
      <x:c r="M31" s="15" t="str">
        <x:v>Critical</x:v>
      </x:c>
      <x:c r="N31" s="15" t="str">
        <x:v>docs/current-backlog.md priority 9</x:v>
      </x:c>
      <x:c r="O31" s="15" t="n">
        <x:f>IF(G31="Done",0,IF(F31="P0",400,IF(F31="P30",300,IF(F31="P31",200,100)))+IF(G31="In Progress",60,IF(G31="Ready",50,IF(G31="Backlog",30,IF(G31="Blocked",10,0))))+IF(M31="Critical",20,IF(M31="High",10,0)))</x:f>
        <x:v>430</x:v>
      </x:c>
    </x:row>
    <x:row r="32" ht="115" hidden="0" customHeight="1">
      <x:c r="A32" s="15" t="str">
        <x:v>PLUG-034</x:v>
      </x:c>
      <x:c r="B32" s="15" t="str">
        <x:v>Plugins</x:v>
      </x:c>
      <x:c r="C32" s="15" t="str">
        <x:v>Security</x:v>
      </x:c>
      <x:c r="D32" s="15" t="str">
        <x:v>Windows/macOS native plugin verification-to-launch binder</x:v>
      </x:c>
      <x:c r="E32" s="15" t="str">
        <x:v>Bind verified executable identity to process launch on Windows and macOS without a path-digest fallback</x:v>
      </x:c>
      <x:c r="F32" s="15" t="str">
        <x:v>P0</x:v>
      </x:c>
      <x:c r="G32" s="15" t="str">
        <x:v>Done</x:v>
      </x:c>
      <x:c r="H32" s="15" t="str">
        <x:v>5.5</x:v>
      </x:c>
      <x:c r="I32" s="15" t="str">
        <x:v>Software</x:v>
      </x:c>
      <x:c r="J32" s="15" t="str">
        <x:v>Checkpoint 73 hosted Windows/macOS native-launch evidence</x:v>
      </x:c>
      <x:c r="K32" s="15" t="str">
        <x:v>Windows holds the verified executable against replacement through SHA-256 + Authenticode + file-identity launch; macOS launches a private exact-byte staged copy verified by codesign/CDHash and enforces configured signing identity requirements; no path-only fallback</x:v>
      </x:c>
      <x:c r="L32" s="15" t="str">
        <x:v>Hosted Windows/macOS native-launch smoke with signed OS fixtures passed. macOS system fixture had no Team ID, so Team-ID matching was not exercised. Licensed product matrix remains PLUG-035/036.</x:v>
      </x:c>
      <x:c r="M32" s="15" t="str">
        <x:v>Critical</x:v>
      </x:c>
      <x:c r="N32" s="15" t="str">
        <x:v>GitHub main f18b0da1a5ce429dc42bed759ce4154668f021c7</x:v>
      </x:c>
      <x:c r="O32" s="15" t="n">
        <x:f>IF(G32="Done",0,IF(F32="P0",400,IF(F32="P1",300,IF(F32="P2",200,100)))+IF(G32="In Progress",60,IF(G32="Ready",50,IF(G32="Backlog",30,IF(G32="Blocked",10,0))))+IF(M32="Critical",20,IF(M32="High",10,0)))</x:f>
        <x:v>0</x:v>
      </x:c>
    </x:row>
    <x:row r="33" ht="26.399999618530273" hidden="0" customHeight="1">
      <x:c r="A33" s="15" t="str">
        <x:v>PLUG-035</x:v>
      </x:c>
      <x:c r="B33" s="15" t="str">
        <x:v>Plugins</x:v>
      </x:c>
      <x:c r="C33" s="15" t="str">
        <x:v>Platform</x:v>
      </x:c>
      <x:c r="D33" s="15" t="str">
        <x:v>Windows real adapter runs</x:v>
      </x:c>
      <x:c r="E33" s="15" t="str">
        <x:v>Prove supported plugin formats and host isolation on Windows</x:v>
      </x:c>
      <x:c r="F33" s="15" t="str">
        <x:v>P0</x:v>
      </x:c>
      <x:c r="G33" s="15" t="str">
        <x:v>Blocked</x:v>
      </x:c>
      <x:c r="H33" s="15" t="str">
        <x:v>5.5</x:v>
      </x:c>
      <x:c r="I33" s="15" t="str">
        <x:v>Qualification</x:v>
      </x:c>
      <x:c r="J33" s="15" t="str">
        <x:v>PLUG-034</x:v>
      </x:c>
      <x:c r="K33" s="15" t="str">
        <x:v>Selected real plugins pass load/control/audio/restart/failure matrix on Windows</x:v>
      </x:c>
      <x:c r="L33" s="15" t="str">
        <x:v>Licensed Windows plugin matrix</x:v>
      </x:c>
      <x:c r="M33" s="15" t="str">
        <x:v>Critical</x:v>
      </x:c>
      <x:c r="N33" s="15" t="str">
        <x:v>docs/current-backlog.md priority 10</x:v>
      </x:c>
      <x:c r="O33" s="15" t="n">
        <x:f>IF(G33="Done",0,IF(F33="P0",400,IF(F33="P32",300,IF(F33="P33",200,100)))+IF(G33="In Progress",60,IF(G33="Ready",50,IF(G33="Backlog",30,IF(G33="Blocked",10,0))))+IF(M33="Critical",20,IF(M33="High",10,0)))</x:f>
        <x:v>430</x:v>
      </x:c>
    </x:row>
    <x:row r="34" ht="26.399999618530273" hidden="0" customHeight="1">
      <x:c r="A34" s="15" t="str">
        <x:v>PLUG-036</x:v>
      </x:c>
      <x:c r="B34" s="15" t="str">
        <x:v>Plugins</x:v>
      </x:c>
      <x:c r="C34" s="15" t="str">
        <x:v>Platform</x:v>
      </x:c>
      <x:c r="D34" s="15" t="str">
        <x:v>macOS real adapter runs</x:v>
      </x:c>
      <x:c r="E34" s="15" t="str">
        <x:v>Prove supported plugin formats and host isolation on macOS</x:v>
      </x:c>
      <x:c r="F34" s="15" t="str">
        <x:v>P0</x:v>
      </x:c>
      <x:c r="G34" s="15" t="str">
        <x:v>Blocked</x:v>
      </x:c>
      <x:c r="H34" s="15" t="str">
        <x:v>5.5</x:v>
      </x:c>
      <x:c r="I34" s="15" t="str">
        <x:v>Qualification</x:v>
      </x:c>
      <x:c r="J34" s="15" t="str">
        <x:v>PLUG-034</x:v>
      </x:c>
      <x:c r="K34" s="15" t="str">
        <x:v>Selected real plugins pass load/control/audio/restart/failure matrix on macOS</x:v>
      </x:c>
      <x:c r="L34" s="15" t="str">
        <x:v>Licensed macOS plugin matrix</x:v>
      </x:c>
      <x:c r="M34" s="15" t="str">
        <x:v>Critical</x:v>
      </x:c>
      <x:c r="N34" s="15" t="str">
        <x:v>docs/current-backlog.md priority 10</x:v>
      </x:c>
      <x:c r="O34" s="15" t="n">
        <x:f>IF(G34="Done",0,IF(F34="P0",400,IF(F34="P33",300,IF(F34="P34",200,100)))+IF(G34="In Progress",60,IF(G34="Ready",50,IF(G34="Backlog",30,IF(G34="Blocked",10,0))))+IF(M34="Critical",20,IF(M34="High",10,0)))</x:f>
        <x:v>430</x:v>
      </x:c>
    </x:row>
    <x:row r="35" ht="26.399999618530273" hidden="0" customHeight="1">
      <x:c r="A35" s="15" t="str">
        <x:v>PLUG-037</x:v>
      </x:c>
      <x:c r="B35" s="15" t="str">
        <x:v>Plugins</x:v>
      </x:c>
      <x:c r="C35" s="15" t="str">
        <x:v>QA</x:v>
      </x:c>
      <x:c r="D35" s="15" t="str">
        <x:v>Licensed plugin fixture set</x:v>
      </x:c>
      <x:c r="E35" s="15" t="str">
        <x:v>Create a legally usable conformance/compatibility fixture inventory</x:v>
      </x:c>
      <x:c r="F35" s="15" t="str">
        <x:v>P0</x:v>
      </x:c>
      <x:c r="G35" s="15" t="str">
        <x:v>Blocked</x:v>
      </x:c>
      <x:c r="H35" s="15" t="str">
        <x:v>5.5</x:v>
      </x:c>
      <x:c r="I35" s="15" t="str">
        <x:v>Decision</x:v>
      </x:c>
      <x:c r="J35" s="15" t="str">
        <x:v>LEGAL-001</x:v>
      </x:c>
      <x:c r="K35" s="15" t="str">
        <x:v>Fixture licenses permit automated qualification and redistribution rules are documented</x:v>
      </x:c>
      <x:c r="L35" s="15" t="str">
        <x:v>Fixture inventory review</x:v>
      </x:c>
      <x:c r="M35" s="15" t="str">
        <x:v>High</x:v>
      </x:c>
      <x:c r="N35" s="15" t="str">
        <x:v>docs/current-backlog.md priority 10</x:v>
      </x:c>
      <x:c r="O35" s="15" t="n">
        <x:f>IF(G35="Done",0,IF(F35="P0",400,IF(F35="P34",300,IF(F35="P35",200,100)))+IF(G35="In Progress",60,IF(G35="Ready",50,IF(G35="Backlog",30,IF(G35="Blocked",10,0))))+IF(M35="Critical",20,IF(M35="High",10,0)))</x:f>
        <x:v>420</x:v>
      </x:c>
    </x:row>
    <x:row r="36" ht="26.399999618530273" hidden="0" customHeight="1">
      <x:c r="A36" s="15" t="str">
        <x:v>PLUG-038</x:v>
      </x:c>
      <x:c r="B36" s="15" t="str">
        <x:v>Plugins</x:v>
      </x:c>
      <x:c r="C36" s="15" t="str">
        <x:v>QA</x:v>
      </x:c>
      <x:c r="D36" s="15" t="str">
        <x:v>Real product compatibility matrix</x:v>
      </x:c>
      <x:c r="E36" s="15" t="str">
        <x:v>Publish evidence-backed compatibility instead of generic format claims</x:v>
      </x:c>
      <x:c r="F36" s="15" t="str">
        <x:v>P1</x:v>
      </x:c>
      <x:c r="G36" s="15" t="str">
        <x:v>Blocked</x:v>
      </x:c>
      <x:c r="H36" s="15" t="str">
        <x:v>6.0</x:v>
      </x:c>
      <x:c r="I36" s="15" t="str">
        <x:v>Qualification</x:v>
      </x:c>
      <x:c r="J36" s="15" t="str">
        <x:v>PLUG-035, PLUG-036, PLUG-037</x:v>
      </x:c>
      <x:c r="K36" s="15" t="str">
        <x:v>Matrix records exact product/version/OS/arch/results and separates tested from untested</x:v>
      </x:c>
      <x:c r="L36" s="15" t="str">
        <x:v>Repeatable compatibility runs</x:v>
      </x:c>
      <x:c r="M36" s="15" t="str">
        <x:v>High</x:v>
      </x:c>
      <x:c r="N36" s="15" t="str">
        <x:v>docs/current-backlog.md priority 10</x:v>
      </x:c>
      <x:c r="O36" s="15" t="n">
        <x:f>IF(G36="Done",0,IF(F36="P0",400,IF(F36="P35",300,IF(F36="P36",200,100)))+IF(G36="In Progress",60,IF(G36="Ready",50,IF(G36="Backlog",30,IF(G36="Blocked",10,0))))+IF(M36="Critical",20,IF(M36="High",10,0)))</x:f>
        <x:v>120</x:v>
      </x:c>
    </x:row>
    <x:row r="37" ht="26.399999618530273" hidden="0" customHeight="1">
      <x:c r="A37" s="15" t="str">
        <x:v>IPC-033</x:v>
      </x:c>
      <x:c r="B37" s="15" t="str">
        <x:v>Local IPC</x:v>
      </x:c>
      <x:c r="C37" s="15" t="str">
        <x:v>Platform</x:v>
      </x:c>
      <x:c r="D37" s="15" t="str">
        <x:v>Windows UPPF named-pipe DACL + SCM lifecycle</x:v>
      </x:c>
      <x:c r="E37" s="15" t="str">
        <x:v>Provide protected explicit-SID named-pipe transport with live DACL attestation, unauthorized-client denial and bounded production-style SCM lifecycle</x:v>
      </x:c>
      <x:c r="F37" s="15" t="str">
        <x:v>P0</x:v>
      </x:c>
      <x:c r="G37" s="15" t="str">
        <x:v>Done</x:v>
      </x:c>
      <x:c r="H37" s="15" t="str">
        <x:v>5.5</x:v>
      </x:c>
      <x:c r="I37" s="15" t="str">
        <x:v>Software</x:v>
      </x:c>
      <x:c r="J37" s="15" t="str">
        <x:v>Checkpoint 72 hosted Windows evidence</x:v>
      </x:c>
      <x:c r="K37" s="15" t="str">
        <x:v>Protected DACL exactly matches configured principals; authorized authenticated UPPF succeeds; excluded client is denied; LocalSystem service stops/restarts both after traffic and while idle in pending accept without stale handles</x:v>
      </x:c>
      <x:c r="L37" s="15" t="str">
        <x:v>GitHub Windows Server 2025 hosted kernel/SCM evidence, including idle STOP 0.266s and post-restart authenticated roundtrip</x:v>
      </x:c>
      <x:c r="M37" s="15" t="str">
        <x:v>Critical</x:v>
      </x:c>
      <x:c r="N37" s="15" t="str">
        <x:v>GitHub main 520a7648fb48a83ca479441b3e4febc3a662115a</x:v>
      </x:c>
      <x:c r="O37" s="15" t="n">
        <x:f>IF(G37="Done",0,IF(F37="P0",400,IF(F37="P1",300,IF(F37="P2",200,100)))+IF(G37="In Progress",60,IF(G37="Ready",50,IF(G37="Backlog",30,IF(G37="Blocked",10,0))))+IF(M37="Critical",20,IF(M37="High",10,0)))</x:f>
        <x:v>0</x:v>
      </x:c>
    </x:row>
    <x:row r="38" ht="26.399999618530273" hidden="0" customHeight="1">
      <x:c r="A38" s="15" t="str">
        <x:v>LIGHT-033</x:v>
      </x:c>
      <x:c r="B38" s="15" t="str">
        <x:v>Lighting</x:v>
      </x:c>
      <x:c r="C38" s="15" t="str">
        <x:v>Native / Venue</x:v>
      </x:c>
      <x:c r="D38" s="15" t="str">
        <x:v>sACN + semantic fixture/venue-patch mapping</x:v>
      </x:c>
      <x:c r="E38" s="15" t="str">
        <x:v>Move portable lighting intent above raw universe/channel execution while preserving explicit physical-output authority</x:v>
      </x:c>
      <x:c r="F38" s="15" t="str">
        <x:v>P1</x:v>
      </x:c>
      <x:c r="G38" s="15" t="str">
        <x:v>Done</x:v>
      </x:c>
      <x:c r="H38" s="15" t="str">
        <x:v>5.5</x:v>
      </x:c>
      <x:c r="I38" s="15" t="str">
        <x:v>Software</x:v>
      </x:c>
      <x:c r="J38" s="15" t="str">
        <x:v>Existing lighting scheduler + venue patch</x:v>
      </x:c>
      <x:c r="K38" s="15" t="str">
        <x:v>Explicitly armed unicast Art-Net/sACN execution is protocol-selectable; committed venue fixtures resolve semantic parameters deterministically to bounded DMX coordinates</x:v>
      </x:c>
      <x:c r="L38" s="15" t="str">
        <x:v>533-test release suite; 2/2 RT CTest; E1.31 packet/arm vectors; committed venue semantic API integration; 118 schemas/OpenAPI; 7 JS checks</x:v>
      </x:c>
      <x:c r="M38" s="15" t="str">
        <x:v>High</x:v>
      </x:c>
      <x:c r="N38" s="15" t="str">
        <x:v>docs/astra-checkpoint-44-validation.md</x:v>
      </x:c>
      <x:c r="O38" s="15" t="n">
        <x:f>IF(G38="Done",0,IF(F38="P0",400,IF(F38="P37",300,IF(F38="P38",200,100)))+IF(G38="In Progress",60,IF(G38="Ready",50,IF(G38="Backlog",30,IF(G38="Blocked",10,0))))+IF(M38="Critical",20,IF(M38="High",10,0)))</x:f>
        <x:v>0</x:v>
      </x:c>
    </x:row>
    <x:row r="39" ht="26.399999618530273" hidden="0" customHeight="1">
      <x:c r="A39" s="15" t="str">
        <x:v>AUTH-040</x:v>
      </x:c>
      <x:c r="B39" s="15" t="str">
        <x:v>Authority</x:v>
      </x:c>
      <x:c r="C39" s="15" t="str">
        <x:v>Core / Backend</x:v>
      </x:c>
      <x:c r="D39" s="15" t="str">
        <x:v>Department/resource authority leases</x:v>
      </x:c>
      <x:c r="E39" s="15" t="str">
        <x:v>Generalize explicit temporary authority beyond current venue-patch scopes without weakening cluster or API authorization</x:v>
      </x:c>
      <x:c r="F39" s="15" t="str">
        <x:v>P1</x:v>
      </x:c>
      <x:c r="G39" s="15" t="str">
        <x:v>Done</x:v>
      </x:c>
      <x:c r="H39" s="15" t="str">
        <x:v>5.4</x:v>
      </x:c>
      <x:c r="I39" s="15" t="str">
        <x:v>Software</x:v>
      </x:c>
      <x:c r="J39" s="15" t="str">
        <x:v>Venue authority lease foundation</x:v>
      </x:c>
      <x:c r="K39" s="15" t="str">
        <x:v>Typed patch/department/resource scopes, exact-resource precedence, venue/runtime lifecycle separation, expiry/audit and fail-closed authority-loss cleanup are explicit</x:v>
      </x:c>
      <x:c r="L39" s="15" t="str">
        <x:v>540-test release suite; 15 focused authority/reconciliation tests; 2/2 RT CTest; 118 schemas/OpenAPI; 7 JS syntax checks</x:v>
      </x:c>
      <x:c r="M39" s="15" t="str">
        <x:v>High</x:v>
      </x:c>
      <x:c r="N39" s="15" t="str">
        <x:v>docs/astra-checkpoint-45-validation.md</x:v>
      </x:c>
      <x:c r="O39" s="15" t="n">
        <x:f>IF(G39="Done",0,IF(F39="P0",400,IF(F39="P38",300,IF(F39="P39",200,100)))+IF(G39="In Progress",60,IF(G39="Ready",50,IF(G39="Backlog",30,IF(G39="Blocked",10,0))))+IF(M39="Critical",20,IF(M39="High",10,0)))</x:f>
        <x:v>0</x:v>
      </x:c>
    </x:row>
    <x:row r="40" ht="26.399999618530273" hidden="0" customHeight="1">
      <x:c r="A40" s="15" t="str">
        <x:v>REC-035</x:v>
      </x:c>
      <x:c r="B40" s="15" t="str">
        <x:v>Public Record</x:v>
      </x:c>
      <x:c r="C40" s="15" t="str">
        <x:v>Backend</x:v>
      </x:c>
      <x:c r="D40" s="15" t="str">
        <x:v>Signed adaptation receipts + externally witnessed Public Record</x:v>
      </x:c>
      <x:c r="E40" s="15" t="str">
        <x:v>Make adaptation and operational-authority evidence tamper-evident and independently witnessable outside private show state</x:v>
      </x:c>
      <x:c r="F40" s="15" t="str">
        <x:v>P1</x:v>
      </x:c>
      <x:c r="G40" s="15" t="str">
        <x:v>Done</x:v>
      </x:c>
      <x:c r="H40" s="15" t="str">
        <x:v>5.4</x:v>
      </x:c>
      <x:c r="I40" s="15" t="str">
        <x:v>Software</x:v>
      </x:c>
      <x:c r="J40" s="15" t="str">
        <x:v>AUTH-040</x:v>
      </x:c>
      <x:c r="K40" s="15" t="str">
        <x:v>Append-only signed records carry stable receipt references; separately authenticated external witnesses attest exact record hashes with explicit quorum coverage</x:v>
      </x:c>
      <x:c r="L40" s="15" t="str">
        <x:v>545-test release suite; tamper/witness/receipt regressions; 2/2 RT CTest; 120 schemas/OpenAPI; 7 JS syntax checks</x:v>
      </x:c>
      <x:c r="M40" s="15" t="str">
        <x:v>High</x:v>
      </x:c>
      <x:c r="N40" s="15" t="str">
        <x:v>docs/astra-checkpoint-46-validation.md</x:v>
      </x:c>
      <x:c r="O40" s="15" t="n">
        <x:f>IF(G40="Done",0,IF(F40="P0",400,IF(F40="P39",300,IF(F40="P40",200,100)))+IF(G40="In Progress",60,IF(G40="Ready",50,IF(G40="Backlog",30,IF(G40="Blocked",10,0))))+IF(M40="Critical",20,IF(M40="High",10,0)))</x:f>
        <x:v>0</x:v>
      </x:c>
    </x:row>
    <x:row r="41" ht="26.399999618530273" hidden="0" customHeight="1">
      <x:c r="A41" s="15" t="str">
        <x:v>GOV-033</x:v>
      </x:c>
      <x:c r="B41" s="15" t="str">
        <x:v>Governance</x:v>
      </x:c>
      <x:c r="C41" s="15" t="str">
        <x:v>Backend</x:v>
      </x:c>
      <x:c r="D41" s="15" t="str">
        <x:v>Bind technology maturity evidence to signed conformance receipts</x:v>
      </x:c>
      <x:c r="E41" s="15" t="str">
        <x:v>Replace self-declared interoperability maturity evidence with verifiable signed Public Record receipts</x:v>
      </x:c>
      <x:c r="F41" s="15" t="str">
        <x:v>P2</x:v>
      </x:c>
      <x:c r="G41" s="15" t="str">
        <x:v>Done</x:v>
      </x:c>
      <x:c r="H41" s="15" t="str">
        <x:v>6.x</x:v>
      </x:c>
      <x:c r="I41" s="15" t="str">
        <x:v>Software</x:v>
      </x:c>
      <x:c r="J41" s="15" t="str">
        <x:v>REC-035</x:v>
      </x:c>
      <x:c r="K41" s="15" t="str">
        <x:v>Standard recognition requires an exact verified evidence digest; stale/fake receipts fail and Core elevation requires current-scale eligibility</x:v>
      </x:c>
      <x:c r="L41" s="15" t="str">
        <x:v>548-test release suite; receipt/tamper/stale/current-scale regressions; 2/2 RT CTest; 121 schemas/OpenAPI; 7 JS checks</x:v>
      </x:c>
      <x:c r="M41" s="15" t="str">
        <x:v>Medium</x:v>
      </x:c>
      <x:c r="N41" s="15" t="str">
        <x:v>docs/astra-checkpoint-47-validation.md</x:v>
      </x:c>
      <x:c r="O41" s="15" t="n">
        <x:f>IF(G41="Done",0,IF(F41="P0",400,IF(F41="P40",300,IF(F41="P41",200,100)))+IF(G41="In Progress",60,IF(G41="Ready",50,IF(G41="Backlog",30,IF(G41="Blocked",10,0))))+IF(M41="Critical",20,IF(M41="High",10,0)))</x:f>
        <x:v>0</x:v>
      </x:c>
    </x:row>
    <x:row r="42" ht="26.399999618530273" hidden="0" customHeight="1">
      <x:c r="A42" s="15" t="str">
        <x:v>GOV-034</x:v>
      </x:c>
      <x:c r="B42" s="15" t="str">
        <x:v>Governance</x:v>
      </x:c>
      <x:c r="C42" s="15" t="str">
        <x:v>Backend</x:v>
      </x:c>
      <x:c r="D42" s="15" t="str">
        <x:v>Bind community governance events to Public Record</x:v>
      </x:c>
      <x:c r="E42" s="15" t="str">
        <x:v>Make proposal/version/invitation/ballot/ratification history independently auditable without exposing voter identity or individual choice</x:v>
      </x:c>
      <x:c r="F42" s="15" t="str">
        <x:v>P2</x:v>
      </x:c>
      <x:c r="G42" s="15" t="str">
        <x:v>Done</x:v>
      </x:c>
      <x:c r="H42" s="15" t="str">
        <x:v>6.x</x:v>
      </x:c>
      <x:c r="I42" s="15" t="str">
        <x:v>Software</x:v>
      </x:c>
      <x:c r="J42" s="15" t="str">
        <x:v>REC-035</x:v>
      </x:c>
      <x:c r="K42" s="15" t="str">
        <x:v>Current proposal versions, invitation windows and opaque ballot commitments enter the signed Public Record; adoption exposes only aggregates and exact evidence references; missing evidence blocks binding until reconciliation</x:v>
      </x:c>
      <x:c r="L42" s="15" t="str">
        <x:v>559-test release suite; 18 focused governance tests; 2/2 RT CTest; 124 schemas/OpenAPI; 7 JS syntax checks</x:v>
      </x:c>
      <x:c r="M42" s="15" t="str">
        <x:v>Medium</x:v>
      </x:c>
      <x:c r="N42" s="15" t="str">
        <x:v>docs/astra-checkpoint-49-validation.md</x:v>
      </x:c>
      <x:c r="O42" s="15" t="n">
        <x:f>IF(G42="Done",0,IF(F42="P0",400,IF(F42="P41",300,IF(F42="P42",200,100)))+IF(G42="In Progress",60,IF(G42="Ready",50,IF(G42="Backlog",30,IF(G42="Blocked",10,0))))+IF(M42="Critical",20,IF(M42="High",10,0)))</x:f>
        <x:v>0</x:v>
      </x:c>
    </x:row>
    <x:row r="43" ht="26.399999618530273" hidden="0" customHeight="1">
      <x:c r="A43" s="15" t="str">
        <x:v>AUTH-041</x:v>
      </x:c>
      <x:c r="B43" s="15" t="str">
        <x:v>Identity</x:v>
      </x:c>
      <x:c r="C43" s="15" t="str">
        <x:v>Backend</x:v>
      </x:c>
      <x:c r="D43" s="15" t="str">
        <x:v>Real account-auth adapter for community voting</x:v>
      </x:c>
      <x:c r="E43" s="15" t="str">
        <x:v>Replace production dependence on forwarded email magic-link credentials with bounded sessions minted from the trusted authentication-proxy identity</x:v>
      </x:c>
      <x:c r="F43" s="15" t="str">
        <x:v>P1</x:v>
      </x:c>
      <x:c r="G43" s="15" t="str">
        <x:v>Done</x:v>
      </x:c>
      <x:c r="H43" s="15" t="str">
        <x:v>5.5</x:v>
      </x:c>
      <x:c r="I43" s="15" t="str">
        <x:v>Software</x:v>
      </x:c>
      <x:c r="J43" s="15" t="str">
        <x:v>GOV-034</x:v>
      </x:c>
      <x:c r="K43" s="15" t="str">
        <x:v>Active community accounts receive short-lived signed sessions bound to persisted auth generation; revoked/stale sessions fail before mutation and session voting still requires exactly one active current-version invitation</x:v>
      </x:c>
      <x:c r="L43" s="15" t="str">
        <x:v>566-test release suite; trusted-proxy HTTP session issue/vote/revoke regression; 2/2 RT CTest; 125 schemas/OpenAPI; 7 JS syntax checks</x:v>
      </x:c>
      <x:c r="M43" s="15" t="str">
        <x:v>High</x:v>
      </x:c>
      <x:c r="N43" s="15" t="str">
        <x:v>docs/astra-checkpoint-50-validation.md</x:v>
      </x:c>
      <x:c r="O43" s="15" t="n">
        <x:f>IF(G43="Done",0,IF(F43="P0",400,IF(F43="P42",300,IF(F43="P43",200,100)))+IF(G43="In Progress",60,IF(G43="Ready",50,IF(G43="Backlog",30,IF(G43="Blocked",10,0))))+IF(M43="Critical",20,IF(M43="High",10,0)))</x:f>
        <x:v>0</x:v>
      </x:c>
    </x:row>
    <x:row r="44" ht="26.399999618530273" hidden="0" customHeight="1">
      <x:c r="A44" s="15" t="str">
        <x:v>HW-033</x:v>
      </x:c>
      <x:c r="B44" s="15" t="str">
        <x:v>Stage Qualification</x:v>
      </x:c>
      <x:c r="C44" s="15" t="str">
        <x:v>Audio</x:v>
      </x:c>
      <x:c r="D44" s="15" t="str">
        <x:v>Audio latency/dropout/soak qualification</x:v>
      </x:c>
      <x:c r="E44" s="15" t="str">
        <x:v>Establish stage-qualified latency/xrun/soak envelope on named hardware</x:v>
      </x:c>
      <x:c r="F44" s="15" t="str">
        <x:v>P0</x:v>
      </x:c>
      <x:c r="G44" s="15" t="str">
        <x:v>Deferred</x:v>
      </x:c>
      <x:c r="H44" s="15" t="str">
        <x:v>6.0</x:v>
      </x:c>
      <x:c r="I44" s="15" t="str">
        <x:v>Qualification</x:v>
      </x:c>
      <x:c r="J44" s="15" t="str">
        <x:v>AUD-033, AUD-034</x:v>
      </x:c>
      <x:c r="K44" s="15" t="str">
        <x:v>Published named-hardware limits include p95/p99 callback timing, xruns and sustained runtime</x:v>
      </x:c>
      <x:c r="L44" s="15" t="str">
        <x:v>Qualification harness</x:v>
      </x:c>
      <x:c r="M44" s="15" t="str">
        <x:v>Critical</x:v>
      </x:c>
      <x:c r="N44" s="15" t="str">
        <x:v>docs/current-backlog.md deferred equipment</x:v>
      </x:c>
      <x:c r="O44" s="15" t="n">
        <x:f>IF(G44="Done",0,IF(F44="P0",400,IF(F44="P43",300,IF(F44="P44",200,100)))+IF(G44="In Progress",60,IF(G44="Ready",50,IF(G44="Backlog",30,IF(G44="Blocked",10,0))))+IF(M44="Critical",20,IF(M44="High",10,0)))</x:f>
        <x:v>420</x:v>
      </x:c>
    </x:row>
    <x:row r="45" ht="26.399999618530273" hidden="0" customHeight="1">
      <x:c r="A45" s="15" t="str">
        <x:v>HW-034</x:v>
      </x:c>
      <x:c r="B45" s="15" t="str">
        <x:v>Stage Qualification</x:v>
      </x:c>
      <x:c r="C45" s="15" t="str">
        <x:v>Recording</x:v>
      </x:c>
      <x:c r="D45" s="15" t="str">
        <x:v>Physical recording + audible loop correctness</x:v>
      </x:c>
      <x:c r="E45" s="15" t="str">
        <x:v>Validate live capture, publication and loop playback acoustically/physically</x:v>
      </x:c>
      <x:c r="F45" s="15" t="str">
        <x:v>P0</x:v>
      </x:c>
      <x:c r="G45" s="15" t="str">
        <x:v>Deferred</x:v>
      </x:c>
      <x:c r="H45" s="15" t="str">
        <x:v>6.0</x:v>
      </x:c>
      <x:c r="I45" s="15" t="str">
        <x:v>Qualification</x:v>
      </x:c>
      <x:c r="J45" s="15" t="str">
        <x:v>DAW-034, DAW-035</x:v>
      </x:c>
      <x:c r="K45" s="15" t="str">
        <x:v>No unexplained discontinuity/corruption across defined capture and loop scenarios</x:v>
      </x:c>
      <x:c r="L45" s="15" t="str">
        <x:v>Physical loopback + listening/measurement suite</x:v>
      </x:c>
      <x:c r="M45" s="15" t="str">
        <x:v>Critical</x:v>
      </x:c>
      <x:c r="N45" s="15" t="str">
        <x:v>docs/current-backlog.md deferred equipment</x:v>
      </x:c>
      <x:c r="O45" s="15" t="n">
        <x:f>IF(G45="Done",0,IF(F45="P0",400,IF(F45="P44",300,IF(F45="P45",200,100)))+IF(G45="In Progress",60,IF(G45="Ready",50,IF(G45="Backlog",30,IF(G45="Blocked",10,0))))+IF(M45="Critical",20,IF(M45="High",10,0)))</x:f>
        <x:v>420</x:v>
      </x:c>
    </x:row>
    <x:row r="46" ht="26.399999618530273" hidden="0" customHeight="1">
      <x:c r="A46" s="15" t="str">
        <x:v>HW-035</x:v>
      </x:c>
      <x:c r="B46" s="15" t="str">
        <x:v>Stage Qualification</x:v>
      </x:c>
      <x:c r="C46" s="15" t="str">
        <x:v>Controllers</x:v>
      </x:c>
      <x:c r="D46" s="15" t="str">
        <x:v>Controller timing + reconnect measurement</x:v>
      </x:c>
      <x:c r="E46" s="15" t="str">
        <x:v>Measure end-to-end mapped-control timing and reconnect behavior</x:v>
      </x:c>
      <x:c r="F46" s="15" t="str">
        <x:v>P0</x:v>
      </x:c>
      <x:c r="G46" s="15" t="str">
        <x:v>Deferred</x:v>
      </x:c>
      <x:c r="H46" s="15" t="str">
        <x:v>6.0</x:v>
      </x:c>
      <x:c r="I46" s="15" t="str">
        <x:v>Qualification</x:v>
      </x:c>
      <x:c r="J46" s="15" t="str">
        <x:v>DEV-033, DEV-034, SEC-037</x:v>
      </x:c>
      <x:c r="K46" s="15" t="str">
        <x:v>Published event-to-action latency/jitter and reconnect envelope on named controllers</x:v>
      </x:c>
      <x:c r="L46" s="15" t="str">
        <x:v>Controller qualification harness</x:v>
      </x:c>
      <x:c r="M46" s="15" t="str">
        <x:v>Critical</x:v>
      </x:c>
      <x:c r="N46" s="15" t="str">
        <x:v>docs/current-backlog.md deferred equipment</x:v>
      </x:c>
      <x:c r="O46" s="15" t="n">
        <x:f>IF(G46="Done",0,IF(F46="P0",400,IF(F46="P45",300,IF(F46="P46",200,100)))+IF(G46="In Progress",60,IF(G46="Ready",50,IF(G46="Backlog",30,IF(G46="Blocked",10,0))))+IF(M46="Critical",20,IF(M46="High",10,0)))</x:f>
        <x:v>420</x:v>
      </x:c>
    </x:row>
    <x:row r="47" ht="26.399999618530273" hidden="0" customHeight="1">
      <x:c r="A47" s="15" t="str">
        <x:v>HW-036</x:v>
      </x:c>
      <x:c r="B47" s="15" t="str">
        <x:v>Stage Qualification</x:v>
      </x:c>
      <x:c r="C47" s="15" t="str">
        <x:v>RF</x:v>
      </x:c>
      <x:c r="D47" s="15" t="str">
        <x:v>LE Audio / UWB RF + clock validation</x:v>
      </x:c>
      <x:c r="E47" s="15" t="str">
        <x:v>Validate wireless timing/RF behavior rather than treating discovery as support</x:v>
      </x:c>
      <x:c r="F47" s="15" t="str">
        <x:v>P1</x:v>
      </x:c>
      <x:c r="G47" s="15" t="str">
        <x:v>Deferred</x:v>
      </x:c>
      <x:c r="H47" s="15" t="str">
        <x:v>6.x</x:v>
      </x:c>
      <x:c r="I47" s="15" t="str">
        <x:v>Qualification</x:v>
      </x:c>
      <x:c r="J47" s="15" t="str">
        <x:v>Named LE/UWB hardware</x:v>
      </x:c>
      <x:c r="K47" s="15" t="str">
        <x:v>Published RF, clock, loss and recovery evidence under defined venue conditions</x:v>
      </x:c>
      <x:c r="L47" s="15" t="str">
        <x:v>RF/clock qualification harness</x:v>
      </x:c>
      <x:c r="M47" s="15" t="str">
        <x:v>High</x:v>
      </x:c>
      <x:c r="N47" s="15" t="str">
        <x:v>docs/current-backlog.md deferred equipment</x:v>
      </x:c>
      <x:c r="O47" s="15" t="n">
        <x:f>IF(G47="Done",0,IF(F47="P0",400,IF(F47="P46",300,IF(F47="P47",200,100)))+IF(G47="In Progress",60,IF(G47="Ready",50,IF(G47="Backlog",30,IF(G47="Blocked",10,0))))+IF(M47="Critical",20,IF(M47="High",10,0)))</x:f>
        <x:v>110</x:v>
      </x:c>
    </x:row>
    <x:row r="48" ht="26.399999618530273" hidden="0" customHeight="1">
      <x:c r="A48" s="15" t="str">
        <x:v>HW-037</x:v>
      </x:c>
      <x:c r="B48" s="15" t="str">
        <x:v>Stage Qualification</x:v>
      </x:c>
      <x:c r="C48" s="15" t="str">
        <x:v>Redundancy</x:v>
      </x:c>
      <x:c r="D48" s="15" t="str">
        <x:v>Independent multi-host timing + failover measurement</x:v>
      </x:c>
      <x:c r="E48" s="15" t="str">
        <x:v>Measure actual failover/program gap across independent nodes</x:v>
      </x:c>
      <x:c r="F48" s="15" t="str">
        <x:v>P0</x:v>
      </x:c>
      <x:c r="G48" s="15" t="str">
        <x:v>Deferred</x:v>
      </x:c>
      <x:c r="H48" s="15" t="str">
        <x:v>6.0</x:v>
      </x:c>
      <x:c r="I48" s="15" t="str">
        <x:v>Qualification</x:v>
      </x:c>
      <x:c r="J48" s="15" t="str">
        <x:v>REC-033, REC-034</x:v>
      </x:c>
      <x:c r="K48" s="15" t="str">
        <x:v>Published authority and audible/program continuity envelope with independent clocks/hosts</x:v>
      </x:c>
      <x:c r="L48" s="15" t="str">
        <x:v>Two-node rehearsal + witness capture</x:v>
      </x:c>
      <x:c r="M48" s="15" t="str">
        <x:v>Critical</x:v>
      </x:c>
      <x:c r="N48" s="15" t="str">
        <x:v>docs/current-backlog.md deferred equipment</x:v>
      </x:c>
      <x:c r="O48" s="15" t="n">
        <x:f>IF(G48="Done",0,IF(F48="P0",400,IF(F48="P47",300,IF(F48="P48",200,100)))+IF(G48="In Progress",60,IF(G48="Ready",50,IF(G48="Backlog",30,IF(G48="Blocked",10,0))))+IF(M48="Critical",20,IF(M48="High",10,0)))</x:f>
        <x:v>420</x:v>
      </x:c>
    </x:row>
    <x:row r="49">
      <x:c r="A49" t="str">
        <x:v>SEC-040</x:v>
      </x:c>
      <x:c r="B49" t="str">
        <x:v>Security</x:v>
      </x:c>
      <x:c r="C49" t="str">
        <x:v>Deployment</x:v>
      </x:c>
      <x:c r="D49" t="str">
        <x:v>Real LAN TLS/proxy/IdP/firewall qualification</x:v>
      </x:c>
      <x:c r="E49" t="str">
        <x:v>Exercise the checkpoint-33 contract on the actual deployment topology rather than a local reference proxy</x:v>
      </x:c>
      <x:c r="F49" t="str">
        <x:v>P0</x:v>
      </x:c>
      <x:c r="G49" t="str">
        <x:v>Blocked</x:v>
      </x:c>
      <x:c r="H49" t="str">
        <x:v>5.3</x:v>
      </x:c>
      <x:c r="I49" t="str">
        <x:v>Qualification</x:v>
      </x:c>
      <x:c r="J49" t="str">
        <x:v>SEC-033, WIT-048, SEC-039</x:v>
      </x:c>
      <x:c r="K49" t="str">
        <x:v>Production proxy certificate, human identity injection, firewall/ingress policy and backend denial behavior all match the reviewed contract under controller workload</x:v>
      </x:c>
      <x:c r="L49" t="str">
        <x:v>Deployed qualification report with failure injection and controller traffic</x:v>
      </x:c>
      <x:c r="M49" t="str">
        <x:v>Critical</x:v>
      </x:c>
      <x:c r="N49" t="str">
        <x:v>docs/current-backlog.md priority 2</x:v>
      </x:c>
      <x:c r="O49" t="n">
        <x:f>IF(G49="Done",0,IF(F49="P0",400,IF(F49="P48",300,IF(F49="P49",200,100)))+IF(G49="In Progress",60,IF(G49="Ready",50,IF(G49="Backlog",30,IF(G49="Blocked",10,0))))+IF(M49="Critical",20,IF(M49="High",10,0)))</x:f>
        <x:v>430</x:v>
      </x:c>
    </x:row>
    <x:row r="50">
      <x:c r="A50" t="str">
        <x:v>WIT-048</x:v>
      </x:c>
      <x:c r="B50" t="str">
        <x:v>Recovery / Redundancy</x:v>
      </x:c>
      <x:c r="C50" t="str">
        <x:v>Witness</x:v>
      </x:c>
      <x:c r="D50" t="str">
        <x:v>Strict independent-witness deployment topology</x:v>
      </x:c>
      <x:c r="E50" t="str">
        <x:v>Make quorum require distinct configured witness identities, failure domains, per-endpoint credentials and bounded clock assumptions</x:v>
      </x:c>
      <x:c r="F50" t="str">
        <x:v>P0</x:v>
      </x:c>
      <x:c r="G50" t="str">
        <x:v>Done</x:v>
      </x:c>
      <x:c r="H50" t="str">
        <x:v>5.3</x:v>
      </x:c>
      <x:c r="I50" t="str">
        <x:v>Software</x:v>
      </x:c>
      <x:c r="J50" t="str">
        <x:v>SEC-036</x:v>
      </x:c>
      <x:c r="K50" t="str">
        <x:v>Explicit majority topology; unique IDs/domains/keyrings; HTTPS outside loopback; signed identity/domain/clock fencing; one-witness loss tolerated and two-witness loss denied</x:v>
      </x:c>
      <x:c r="L50" t="str">
        <x:v>555-test release suite; 71 focused tests; 3-process 3/3→2/3→1/3 drill; 2/2 RT CTest; 123 schemas/OpenAPI</x:v>
      </x:c>
      <x:c r="M50" t="str">
        <x:v>Critical</x:v>
      </x:c>
      <x:c r="N50" t="str">
        <x:v>docs/astra-checkpoint-48-validation.md</x:v>
      </x:c>
      <x:c r="O50" t="n">
        <x:f>IF(G50="Done",0,IF(F50="P0",400,IF(F50="P49",300,IF(F50="P50",200,100)))+IF(G50="In Progress",60,IF(G50="Ready",50,IF(G50="Backlog",30,IF(G50="Blocked",10,0))))+IF(M50="Critical",20,IF(M50="High",10,0)))</x:f>
        <x:v>0</x:v>
      </x:c>
    </x:row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G2:G48">
    <x:cfRule type="expression" dxfId="0" priority="1">
      <x:formula>G2="Ready"</x:formula>
    </x:cfRule>
    <x:cfRule type="expression" dxfId="1" priority="2">
      <x:formula>G2="Backlog"</x:formula>
    </x:cfRule>
    <x:cfRule type="expression" dxfId="2" priority="3">
      <x:formula>G2="Blocked"</x:formula>
    </x:cfRule>
    <x:cfRule type="expression" dxfId="3" priority="4">
      <x:formula>G2="Deferred"</x:formula>
    </x:cfRule>
  </x:conditionalFormatting>
  <x:conditionalFormatting sqref="F2:F48">
    <x:cfRule type="expression" dxfId="4" priority="5">
      <x:formula>F2="P0"</x:formula>
    </x:cfRule>
  </x:conditionalFormatting>
  <x:conditionalFormatting sqref="G2:G49">
    <x:cfRule type="expression" dxfId="8" priority="6">
      <x:formula>G2="Done"</x:formula>
    </x:cfRule>
  </x:conditionalFormatting>
  <x:dataValidations count="5">
    <x:dataValidation type="list" sqref="F2:F48">
      <x:formula1>"P0,P1,P2,P3"</x:formula1>
    </x:dataValidation>
    <x:dataValidation type="list" sqref="G2:G48">
      <x:formula1>"Ready,Backlog,In Progress,Blocked,Deferred,Done"</x:formula1>
    </x:dataValidation>
    <x:dataValidation type="list" sqref="H2:H48">
      <x:formula1>"5.2,5.3,5.4,5.5,6.0,6.x"</x:formula1>
    </x:dataValidation>
    <x:dataValidation type="list" sqref="I2:I48">
      <x:formula1>"Software,Qualification,Decision"</x:formula1>
    </x:dataValidation>
    <x:dataValidation type="list" sqref="M2:M48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279ce0fb15b4f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22" hidden="0" customWidth="1"/>
    <x:col min="6" max="6" width="38" hidden="0" customWidth="1"/>
    <x:col min="7" max="7" width="18" hidden="0" customWidth="1"/>
  </x:cols>
  <x:sheetData>
    <x:row r="1" ht="15" hidden="0" customHeight="1">
      <x:c r="A1" s="4" t="str">
        <x:v>Checkpoint</x:v>
      </x:c>
      <x:c r="B1" s="4" t="str">
        <x:v>Delivered</x:v>
      </x:c>
      <x:c r="C1" s="4" t="str">
        <x:v>Tests Passed</x:v>
      </x:c>
      <x:c r="D1" s="4" t="str">
        <x:v>Suite</x:v>
      </x:c>
      <x:c r="E1" s="4" t="str">
        <x:v>Native Evidence</x:v>
      </x:c>
      <x:c r="F1" s="4" t="str">
        <x:v>Remaining Seam</x:v>
      </x:c>
      <x:c r="G1" s="4" t="str">
        <x:v>Date</x:v>
      </x:c>
    </x:row>
    <x:row r="2" ht="15" hidden="0" customHeight="1">
      <x:c r="A2" s="12" t="n">
        <x:v>22</x:v>
      </x:c>
      <x:c r="B2" s="12" t="str">
        <x:v>Strict HTTP request framing + body isolation</x:v>
      </x:c>
      <x:c r="C2" s="12" t="n">
        <x:v>427</x:v>
      </x:c>
      <x:c r="D2" s="12" t="str">
        <x:v>Python</x:v>
      </x:c>
      <x:c r="E2" s="12" t="str">
        <x:v>No fresh native build</x:v>
      </x:c>
      <x:c r="F2" s="12" t="str">
        <x:v>Proxy/TLS trust, resource bounds, auth review</x:v>
      </x:c>
      <x:c r="G2" s="12" t="str">
        <x:v>2026-09-13</x:v>
      </x:c>
    </x:row>
    <x:row r="3" ht="15" hidden="0" customHeight="1">
      <x:c r="A3" s="12" t="n">
        <x:v>23</x:v>
      </x:c>
      <x:c r="B3" s="12" t="str">
        <x:v>Bounded HTTP workers + inactivity timeout</x:v>
      </x:c>
      <x:c r="C3" s="12" t="n">
        <x:v>431</x:v>
      </x:c>
      <x:c r="D3" s="12" t="str">
        <x:v>Python</x:v>
      </x:c>
      <x:c r="E3" s="12" t="str">
        <x:v>No fresh native build</x:v>
      </x:c>
      <x:c r="F3" s="12" t="str">
        <x:v>Total deadlines, SSE budget, rate limits</x:v>
      </x:c>
      <x:c r="G3" s="12" t="str">
        <x:v>2026-09-13</x:v>
      </x:c>
    </x:row>
    <x:row r="4" ht="15" hidden="0" customHeight="1">
      <x:c r="A4" s="12" t="n">
        <x:v>24</x:v>
      </x:c>
      <x:c r="B4" s="12" t="str">
        <x:v>Separate SSE admission budget</x:v>
      </x:c>
      <x:c r="C4" s="12" t="n">
        <x:v>434</x:v>
      </x:c>
      <x:c r="D4" s="12" t="str">
        <x:v>Python</x:v>
      </x:c>
      <x:c r="E4" s="12" t="str">
        <x:v>No fresh native build</x:v>
      </x:c>
      <x:c r="F4" s="12" t="str">
        <x:v>Rate limits, proxy/TLS, authorization</x:v>
      </x:c>
      <x:c r="G4" s="12" t="str">
        <x:v>2026-09-13</x:v>
      </x:c>
    </x:row>
    <x:row r="5" ht="15" hidden="0" customHeight="1">
      <x:c r="A5" s="12" t="n">
        <x:v>25</x:v>
      </x:c>
      <x:c r="B5" s="12" t="str">
        <x:v>Monotonic total request receive deadline</x:v>
      </x:c>
      <x:c r="C5" s="12" t="n">
        <x:v>436</x:v>
      </x:c>
      <x:c r="D5" s="12" t="str">
        <x:v>Python</x:v>
      </x:c>
      <x:c r="E5" s="12" t="str">
        <x:v>No fresh native build</x:v>
      </x:c>
      <x:c r="F5" s="12" t="str">
        <x:v>Rate limits, proxy/TLS, secret lifecycle</x:v>
      </x:c>
      <x:c r="G5" s="12" t="str">
        <x:v>2026-09-13</x:v>
      </x:c>
    </x:row>
    <x:row r="6" ht="15" hidden="0" customHeight="1">
      <x:c r="A6" s="12" t="n">
        <x:v>26</x:v>
      </x:c>
      <x:c r="B6" s="12" t="str">
        <x:v>Per-peer + aggregate request-rate buckets</x:v>
      </x:c>
      <x:c r="C6" s="12" t="n">
        <x:v>440</x:v>
      </x:c>
      <x:c r="D6" s="12" t="str">
        <x:v>Python</x:v>
      </x:c>
      <x:c r="E6" s="12" t="str">
        <x:v>No fresh native build</x:v>
      </x:c>
      <x:c r="F6" s="12" t="str">
        <x:v>Workload qualification, operation-cost bounds</x:v>
      </x:c>
      <x:c r="G6" s="12" t="str">
        <x:v>2026-09-13</x:v>
      </x:c>
    </x:row>
    <x:row r="7" ht="15" hidden="0" customHeight="1">
      <x:c r="A7" s="12" t="n">
        <x:v>27</x:v>
      </x:c>
      <x:c r="B7" s="12" t="str">
        <x:v>Proxy privilege separation + header/log hardening</x:v>
      </x:c>
      <x:c r="C7" s="12" t="n">
        <x:v>450</x:v>
      </x:c>
      <x:c r="D7" s="12" t="str">
        <x:v>Python</x:v>
      </x:c>
      <x:c r="E7" s="12" t="str">
        <x:v>No fresh native build</x:v>
      </x:c>
      <x:c r="F7" s="12" t="str">
        <x:v>Deployment TLS, roles, secret rotation, audit</x:v>
      </x:c>
      <x:c r="G7" s="12" t="str">
        <x:v>2026-09-13</x:v>
      </x:c>
    </x:row>
    <x:row r="8" ht="15" hidden="0" customHeight="1">
      <x:c r="A8" s="12" t="n">
        <x:v>28</x:v>
      </x:c>
      <x:c r="B8" s="12" t="str">
        <x:v>Authenticated health + strict command identity</x:v>
      </x:c>
      <x:c r="C8" s="12" t="n">
        <x:v>455</x:v>
      </x:c>
      <x:c r="D8" s="12" t="str">
        <x:v>Python</x:v>
      </x:c>
      <x:c r="E8" s="12" t="str">
        <x:v>No fresh native build</x:v>
      </x:c>
      <x:c r="F8" s="12" t="str">
        <x:v>Security priority 2 consolidation</x:v>
      </x:c>
      <x:c r="G8" s="12" t="str">
        <x:v>2026-09-13</x:v>
      </x:c>
    </x:row>
    <x:row r="9" ht="15" hidden="0" customHeight="1">
      <x:c r="A9" s="12" t="n">
        <x:v>29</x:v>
      </x:c>
      <x:c r="B9" s="12" t="str">
        <x:v>Scoped monitoring credential</x:v>
      </x:c>
      <x:c r="C9" s="12" t="n">
        <x:v>460</x:v>
      </x:c>
      <x:c r="D9" s="12" t="str">
        <x:v>Python</x:v>
      </x:c>
      <x:c r="E9" s="12" t="str">
        <x:v>No fresh native build</x:v>
      </x:c>
      <x:c r="F9" s="12" t="str">
        <x:v>Per-user roles, secret lifecycle, durable audit</x:v>
      </x:c>
      <x:c r="G9" s="12" t="str">
        <x:v>2026-09-13</x:v>
      </x:c>
    </x:row>
    <x:row r="10" ht="26.399999618530273" hidden="0" customHeight="1">
      <x:c r="A10" s="12" t="n">
        <x:v>30</x:v>
      </x:c>
      <x:c r="B10" s="12" t="str">
        <x:v>Private credential-file rotation</x:v>
      </x:c>
      <x:c r="C10" s="12" t="n">
        <x:v>467</x:v>
      </x:c>
      <x:c r="D10" s="12" t="str">
        <x:v>Python</x:v>
      </x:c>
      <x:c r="E10" s="12" t="str">
        <x:v>No fresh native build</x:v>
      </x:c>
      <x:c r="F10" s="12" t="str">
        <x:v>In-flight/SSE revocation; witness/replication rotation</x:v>
      </x:c>
      <x:c r="G10" s="12" t="str">
        <x:v>2026-09-13</x:v>
      </x:c>
    </x:row>
    <x:row r="11" ht="15" hidden="0" customHeight="1">
      <x:c r="A11" s="12" t="n">
        <x:v>31</x:v>
      </x:c>
      <x:c r="B11" s="12" t="str">
        <x:v>SSE file-backed revocation checks</x:v>
      </x:c>
      <x:c r="C11" s="12" t="n">
        <x:v>470</x:v>
      </x:c>
      <x:c r="D11" s="12" t="str">
        <x:v>Python</x:v>
      </x:c>
      <x:c r="E11" s="12" t="str">
        <x:v>No fresh native build</x:v>
      </x:c>
      <x:c r="F11" s="12" t="str">
        <x:v>Per-user roles + durable actor/action audit</x:v>
      </x:c>
      <x:c r="G11" s="12" t="str">
        <x:v>2026-09-13</x:v>
      </x:c>
    </x:row>
    <x:row r="12" ht="26.399999618530273" hidden="0" customHeight="1">
      <x:c r="A12" s="12" t="n">
        <x:v>32</x:v>
      </x:c>
      <x:c r="B12" s="12" t="str">
        <x:v>Per-user roles + durable hash-linked authorization audit</x:v>
      </x:c>
      <x:c r="C12" s="12" t="n">
        <x:v>481</x:v>
      </x:c>
      <x:c r="D12" s="12" t="str">
        <x:v>Python + CTest</x:v>
      </x:c>
      <x:c r="E12" s="12" t="str">
        <x:v>2/2 native CTest</x:v>
      </x:c>
      <x:c r="F12" s="12" t="str">
        <x:v>TLS/proxy qualification, audit retention, secret lifecycle</x:v>
      </x:c>
      <x:c r="G12" s="12" t="str">
        <x:v>2026-09-13</x:v>
      </x:c>
    </x:row>
    <x:row r="13">
      <x:c r="A13" s="12" t="n">
        <x:v>33</x:v>
      </x:c>
      <x:c r="B13" s="12" t="str">
        <x:v>Strict proxy-HTTPS deployment profile + qualification harness</x:v>
      </x:c>
      <x:c r="C13" s="12" t="n">
        <x:v>487</x:v>
      </x:c>
      <x:c r="D13" s="12" t="str">
        <x:v>Python + live local TLS reference</x:v>
      </x:c>
      <x:c r="E13" s="12" t="str">
        <x:v>2/2 native CTest</x:v>
      </x:c>
      <x:c r="F13" s="12" t="str">
        <x:v>Real LAN proxy/cert/IdP/firewall qualification</x:v>
      </x:c>
      <x:c r="G13" s="12" t="str">
        <x:v>2026-09-13</x:v>
      </x:c>
    </x:row>
    <x:row r="14">
      <x:c r="A14" s="12" t="n">
        <x:v>34</x:v>
      </x:c>
      <x:c r="B14" s="12" t="str">
        <x:v>Bounded segmented authorization-audit retention + cryptographic prune anchor</x:v>
      </x:c>
      <x:c r="C14" s="12" t="n">
        <x:v>492</x:v>
      </x:c>
      <x:c r="D14" s="12" t="str">
        <x:v>Python + clean RT gate</x:v>
      </x:c>
      <x:c r="E14" s="12" t="str">
        <x:v>2/2 RT CTest</x:v>
      </x:c>
      <x:c r="F14" s="12" t="str">
        <x:v>Specialized auth audit unification; controller/disk qualification</x:v>
      </x:c>
      <x:c r="G14" s="12" t="str">
        <x:v>2026-09-13</x:v>
      </x:c>
    </x:row>
    <x:row r="15">
      <x:c r="A15" t="n">
        <x:v>35</x:v>
      </x:c>
      <x:c r="B15" t="str">
        <x:v>Rotating replication/witness HMAC keyrings with exact key IDs and no downgrade fallback</x:v>
      </x:c>
      <x:c r="C15" t="n">
        <x:v>500</x:v>
      </x:c>
      <x:c r="D15" t="str">
        <x:v>Release Python + schema/frontend/performance checks</x:v>
      </x:c>
      <x:c r="E15" t="str">
        <x:v>2/2 native CTest</x:v>
      </x:c>
      <x:c r="F15" t="str">
        <x:v>Specialized auth audit unification; witness clock/trust and real-LAN qualification</x:v>
      </x:c>
      <x:c r="G15" t="str">
        <x:v>2026-09-13</x:v>
      </x:c>
    </x:row>
    <x:row r="16">
      <x:c r="A16" t="n">
        <x:v>36</x:v>
      </x:c>
      <x:c r="B16" t="str">
        <x:v>Specialized admin/adapter/machine authorization audit evidence without privilege widening</x:v>
      </x:c>
      <x:c r="C16" t="n">
        <x:v>506</x:v>
      </x:c>
      <x:c r="D16" t="str">
        <x:v>Release Python + schema/frontend/performance checks</x:v>
      </x:c>
      <x:c r="E16" t="str">
        <x:v>2/2 RT native CTest</x:v>
      </x:c>
      <x:c r="F16" t="str">
        <x:v>Backend operation-cost bounds; controller and deployed LAN/witness qualification</x:v>
      </x:c>
      <x:c r="G16" t="str">
        <x:v>2026-09-13</x:v>
      </x:c>
    </x:row>
    <x:row r="17">
      <x:c r="A17" t="n">
        <x:v>37</x:v>
      </x:c>
      <x:c r="B17" t="str">
        <x:v>Non-blocking total/class admission budgets for known expensive HTTP operations</x:v>
      </x:c>
      <x:c r="C17" t="n">
        <x:v>510</x:v>
      </x:c>
      <x:c r="D17" t="str">
        <x:v>Release Python + schema/frontend/performance checks</x:v>
      </x:c>
      <x:c r="E17" t="str">
        <x:v>2/2 RT native CTest</x:v>
      </x:c>
      <x:c r="F17" t="str">
        <x:v>Controller workload/rate-policy; real LAN and witness qualification</x:v>
      </x:c>
      <x:c r="G17" t="str">
        <x:v>2026-09-13</x:v>
      </x:c>
    </x:row>
    <x:row r="18">
      <x:c r="A18" t="n">
        <x:v>38</x:v>
      </x:c>
      <x:c r="B18" t="str">
        <x:v>Repeatable controller HTTP workload + rate-policy reference qualification</x:v>
      </x:c>
      <x:c r="C18" t="n">
        <x:v>513</x:v>
      </x:c>
      <x:c r="D18" t="str">
        <x:v>Release Python + workload/schema/frontend/performance checks</x:v>
      </x:c>
      <x:c r="E18" t="str">
        <x:v>2/2 RT native CTest</x:v>
      </x:c>
      <x:c r="F18" t="str">
        <x:v>Physical controller timing; real LAN and independent witness qualification</x:v>
      </x:c>
      <x:c r="G18" t="str">
        <x:v>2026-09-13</x:v>
      </x:c>
    </x:row>
    <x:row r="19">
      <x:c r="A19" t="n">
        <x:v>39</x:v>
      </x:c>
      <x:c r="B19" t="str">
        <x:v>Linux integer/multichannel physical PCM adapters with explicit conversion-policy fencing</x:v>
      </x:c>
      <x:c r="C19" t="n">
        <x:v>516</x:v>
      </x:c>
      <x:c r="D19" t="str">
        <x:v>Release Python + schema/frontend/performance checks</x:v>
      </x:c>
      <x:c r="E19" t="str">
        <x:v>2/2 RT native CTest + live ALSA-null S16/S24 4ch</x:v>
      </x:c>
      <x:c r="F19" t="str">
        <x:v>Converter-quality measurement; Windows/macOS physical audio adapters</x:v>
      </x:c>
      <x:c r="G19" t="str">
        <x:v>2026-09-13</x:v>
      </x:c>
    </x:row>
    <x:row r="20">
      <x:c r="A20" t="n">
        <x:v>40</x:v>
      </x:c>
      <x:c r="B20" t="str">
        <x:v>Durable inode-bound temporary-resource owner manifests with conservative crash cleanup</x:v>
      </x:c>
      <x:c r="C20" t="n">
        <x:v>524</x:v>
      </x:c>
      <x:c r="D20" t="str">
        <x:v>Release Python + durability/schema/frontend/performance checks</x:v>
      </x:c>
      <x:c r="E20" t="str">
        <x:v>2/2 RT native CTest</x:v>
      </x:c>
      <x:c r="F20" t="str">
        <x:v>Recording publication directory durability; physical storage power-cut qualification</x:v>
      </x:c>
      <x:c r="G20" t="str">
        <x:v>2026-09-13</x:v>
      </x:c>
    </x:row>
    <x:row r="21">
      <x:c r="A21" t="n">
        <x:v>41</x:v>
      </x:c>
      <x:c r="B21" t="str">
        <x:v>Parent-directory durability for finalized and recovered recording publication</x:v>
      </x:c>
      <x:c r="C21" t="n">
        <x:v>527</x:v>
      </x:c>
      <x:c r="D21" t="str">
        <x:v>Release Python + recording/schema/frontend/performance checks</x:v>
      </x:c>
      <x:c r="E21" t="str">
        <x:v>2/2 RT native CTest</x:v>
      </x:c>
      <x:c r="F21" t="str">
        <x:v>Physical storage power-cut/audible capture qualification; arbitrary loop-wrap completion</x:v>
      </x:c>
      <x:c r="G21" t="str">
        <x:v>2026-09-13</x:v>
      </x:c>
    </x:row>
    <x:row r="22">
      <x:c r="A22" t="n">
        <x:v>42</x:v>
      </x:c>
      <x:c r="B22" t="str">
        <x:v>Sample-exact arbitrary-length arrangement/clip loop wrapping across producer and native queue</x:v>
      </x:c>
      <x:c r="C22" t="n">
        <x:v>529</x:v>
      </x:c>
      <x:c r="D22" t="str">
        <x:v>Release Python + automation/schema/frontend checks</x:v>
      </x:c>
      <x:c r="E22" t="str">
        <x:v>2/2 RT native CTest</x:v>
      </x:c>
      <x:c r="F22" t="str">
        <x:v>Audible real-output loop qualification; cross-platform adapters</x:v>
      </x:c>
      <x:c r="G22" t="str">
        <x:v>2026-09-13</x:v>
      </x:c>
    </x:row>
    <x:row r="23">
      <x:c r="A23" t="n">
        <x:v>43</x:v>
      </x:c>
      <x:c r="B23" t="str">
        <x:v>Reviewed, expiring multi-source driver package metadata with stale/unreviewed fencing</x:v>
      </x:c>
      <x:c r="C23" t="n">
        <x:v>531</x:v>
      </x:c>
      <x:c r="D23" t="str">
        <x:v>Release Python + driver/schema/frontend/performance checks</x:v>
      </x:c>
      <x:c r="E23" t="str">
        <x:v>2/2 RT native CTest</x:v>
      </x:c>
      <x:c r="F23" t="str">
        <x:v>Windows/macOS endpoint evidence adapters; broader vendor review and physical qualification</x:v>
      </x:c>
      <x:c r="G23" t="str">
        <x:v>2026-09-13</x:v>
      </x:c>
    </x:row>
    <x:row r="24">
      <x:c r="A24" t="n">
        <x:v>44</x:v>
      </x:c>
      <x:c r="B24" t="str">
        <x:v>Explicit unicast sACN/E1.31 plus semantic fixture resolution through committed venue patches</x:v>
      </x:c>
      <x:c r="C24" t="n">
        <x:v>533</x:v>
      </x:c>
      <x:c r="D24" t="str">
        <x:v>Release Python + lighting/schema/frontend/performance checks</x:v>
      </x:c>
      <x:c r="E24" t="str">
        <x:v>2/2 RT native CTest</x:v>
      </x:c>
      <x:c r="F24" t="str">
        <x:v>Real console/network interoperability; multicast/sync only if product scope requires</x:v>
      </x:c>
      <x:c r="G24" t="str">
        <x:v>2026-09-13</x:v>
      </x:c>
    </x:row>
    <x:row r="25">
      <x:c r="A25" t="n">
        <x:v>45</x:v>
      </x:c>
      <x:c r="B25" t="str">
        <x:v>Typed patch/department/resource operational authority leases with fail-closed lifecycle fencing</x:v>
      </x:c>
      <x:c r="C25" t="n">
        <x:v>540</x:v>
      </x:c>
      <x:c r="D25" t="str">
        <x:v>Release Python + authority/schema/frontend/performance checks</x:v>
      </x:c>
      <x:c r="E25" t="str">
        <x:v>2/2 RT native CTest</x:v>
      </x:c>
      <x:c r="F25" t="str">
        <x:v>Signed adaptation/authority receipts and externally witnessed Public Record</x:v>
      </x:c>
      <x:c r="G25" t="str">
        <x:v>2026-09-13</x:v>
      </x:c>
    </x:row>
    <x:row r="26">
      <x:c r="A26" t="n">
        <x:v>46</x:v>
      </x:c>
      <x:c r="B26" t="str">
        <x:v>Signed append-only adaptation/authority Public Record with external exact-hash witness attestations</x:v>
      </x:c>
      <x:c r="C26" t="n">
        <x:v>545</x:v>
      </x:c>
      <x:c r="D26" t="str">
        <x:v>Release Python + Public Record/schema/frontend/performance checks</x:v>
      </x:c>
      <x:c r="E26" t="str">
        <x:v>2/2 RT native CTest</x:v>
      </x:c>
      <x:c r="F26" t="str">
        <x:v>Production-independent witness deployment/public-key transparency; governance/conformance bindings</x:v>
      </x:c>
      <x:c r="G26" t="str">
        <x:v>2026-09-13</x:v>
      </x:c>
    </x:row>
    <x:row r="27">
      <x:c r="A27" t="n">
        <x:v>47</x:v>
      </x:c>
      <x:c r="B27" t="str">
        <x:v>Signed technology conformance receipts bound to exact maturity evidence digests</x:v>
      </x:c>
      <x:c r="C27" t="n">
        <x:v>548</x:v>
      </x:c>
      <x:c r="D27" t="str">
        <x:v>Release Python + conformance/schema/frontend/performance checks</x:v>
      </x:c>
      <x:c r="E27" t="str">
        <x:v>2/2 RT native CTest</x:v>
      </x:c>
      <x:c r="F27" t="str">
        <x:v>Independent witness option prioritized before community-governance expansion</x:v>
      </x:c>
      <x:c r="G27" t="str">
        <x:v>2026-09-14</x:v>
      </x:c>
    </x:row>
    <x:row r="28">
      <x:c r="A28" t="n">
        <x:v>48</x:v>
      </x:c>
      <x:c r="B28" t="str">
        <x:v>Strict independent-witness topology with unique IDs/domains/keyrings and signed clock-skew fencing</x:v>
      </x:c>
      <x:c r="C28" t="n">
        <x:v>555</x:v>
      </x:c>
      <x:c r="D28" t="str">
        <x:v>Release Python + witness reference/schema/frontend/performance checks</x:v>
      </x:c>
      <x:c r="E28" t="str">
        <x:v>2/2 RT native CTest; 3-process quorum drill passed</x:v>
      </x:c>
      <x:c r="F28" t="str">
        <x:v>Real multi-host witness/recovery/failure-domain qualification</x:v>
      </x:c>
      <x:c r="G28" t="str">
        <x:v>2026-09-14</x:v>
      </x:c>
    </x:row>
    <x:row r="29">
      <x:c r="A29" t="n">
        <x:v>49</x:v>
      </x:c>
      <x:c r="B29" t="str">
        <x:v>Privacy-preserving community governance Public Record binding and evidence reconciliation</x:v>
      </x:c>
      <x:c r="C29" t="n">
        <x:v>559</x:v>
      </x:c>
      <x:c r="D29" t="str">
        <x:v>Release Python + governance/schema/frontend/performance checks</x:v>
      </x:c>
      <x:c r="E29" t="str">
        <x:v>2/2 RT native CTest</x:v>
      </x:c>
      <x:c r="F29" t="str">
        <x:v>Real account-auth voting adapter; physical witness/LAN qualification</x:v>
      </x:c>
      <x:c r="G29" t="str">
        <x:v>2026-09-14</x:v>
      </x:c>
    </x:row>
    <x:row r="30">
      <x:c r="A30" t="n">
        <x:v>50</x:v>
      </x:c>
      <x:c r="B30" t="str">
        <x:v>Trusted auth-proxy community account sessions with generation-based revocation and session-only voting</x:v>
      </x:c>
      <x:c r="C30" t="n">
        <x:v>566</x:v>
      </x:c>
      <x:c r="D30" t="str">
        <x:v>Release Python + account-auth/schema/frontend/performance checks</x:v>
      </x:c>
      <x:c r="E30" t="str">
        <x:v>2/2 RT native CTest</x:v>
      </x:c>
      <x:c r="F30" t="str">
        <x:v>Production IdP/LAN integration; remaining work requires external environments/platforms</x:v>
      </x:c>
      <x:c r="G30" t="str">
        <x:v>2026-09-14</x:v>
      </x:c>
    </x:row>
    <x:row r="31">
      <x:c r="A31" t="n">
        <x:v>51</x:v>
      </x:c>
      <x:c r="B31" t="str">
        <x:v>Linux external plugin adapter SHA-256 verification bound to exact inherited launch file descriptor</x:v>
      </x:c>
      <x:c r="C31" t="n">
        <x:v>568</x:v>
      </x:c>
      <x:c r="D31" t="str">
        <x:v>Release Python + plugin/schema/frontend/performance checks</x:v>
      </x:c>
      <x:c r="E31" t="str">
        <x:v>2/2 RT native CTest</x:v>
      </x:c>
      <x:c r="F31" t="str">
        <x:v>Windows/macOS native launch binding; licensed real-plugin qualification</x:v>
      </x:c>
      <x:c r="G31" t="str">
        <x:v>2026-09-14</x:v>
      </x:c>
    </x:row>
    <x:row r="32">
      <x:c r="A32" t="n">
        <x:v>52</x:v>
      </x:c>
      <x:c r="B32" t="str">
        <x:v>Reviewed Focusrite Scarlett 4th Gen Windows x64 package metadata for exact USB identities</x:v>
      </x:c>
      <x:c r="C32" t="n">
        <x:v>569</x:v>
      </x:c>
      <x:c r="D32" t="str">
        <x:v>Release Python + driver-catalog/schema/frontend/performance checks</x:v>
      </x:c>
      <x:c r="E32" t="str">
        <x:v>2/2 RT native CTest (unchanged native source)</x:v>
      </x:c>
      <x:c r="F32" t="str">
        <x:v>Windows/macOS endpoint evidence adapters; broader catalog re-review; physical qualification</x:v>
      </x:c>
      <x:c r="G32" t="str">
        <x:v>2026-09-14</x:v>
      </x:c>
    </x:row>
    <x:row r="33">
      <x:c r="A33" t="n">
        <x:v>53</x:v>
      </x:c>
      <x:c r="B33" t="str">
        <x:v>Offline driver-catalog review audit with expiry horizon and fail-closed stale/unreviewed/invalid reporting</x:v>
      </x:c>
      <x:c r="C33" t="n">
        <x:v>572</x:v>
      </x:c>
      <x:c r="D33" t="str">
        <x:v>Release Python + catalog-audit/schema/frontend/performance checks</x:v>
      </x:c>
      <x:c r="E33" t="str">
        <x:v>2/2 RT native CTest (unchanged native source)</x:v>
      </x:c>
      <x:c r="F33" t="str">
        <x:v>Human vendor re-review; Windows/macOS endpoint evidence; physical qualification</x:v>
      </x:c>
      <x:c r="G33" t="str">
        <x:v>2026-09-14</x:v>
      </x:c>
    </x:row>
    <x:row r="34">
      <x:c r="A34" t="n">
        <x:v>54</x:v>
      </x:c>
      <x:c r="B34" t="str">
        <x:v>Real-Chromium rendered workflow and responsive reference acceptance with 390 px overflow fix</x:v>
      </x:c>
      <x:c r="C34" t="n">
        <x:v>573</x:v>
      </x:c>
      <x:c r="D34" t="str">
        <x:v>Release Python + Chromium/browser/schema/frontend/performance checks</x:v>
      </x:c>
      <x:c r="E34" t="str">
        <x:v>2/2 RT native CTest</x:v>
      </x:c>
      <x:c r="F34" t="str">
        <x:v>Assistive-technology and deployed browser-to-LAN/TLS/IdP qualification</x:v>
      </x:c>
      <x:c r="G34" t="str">
        <x:v>2026-09-14</x:v>
      </x:c>
    </x:row>
    <x:row r="35">
      <x:c r="A35" t="n">
        <x:v>55</x:v>
      </x:c>
      <x:c r="B35" t="str">
        <x:v>Privacy-preserving Windows AudioEndpoint/signed-driver and macOS CoreAudio evidence adapters</x:v>
      </x:c>
      <x:c r="C35" t="n">
        <x:v>578</x:v>
      </x:c>
      <x:c r="D35" t="str">
        <x:v>Release Python + endpoint/driver/schema/frontend/performance checks</x:v>
      </x:c>
      <x:c r="E35" t="str">
        <x:v>2/2 RT native CTest (native source unchanged)</x:v>
      </x:c>
      <x:c r="F35" t="str">
        <x:v>Real Windows/macOS host execution; audio/device lifecycle and platform security adapters</x:v>
      </x:c>
      <x:c r="G35" t="str">
        <x:v>2026-09-14</x:v>
      </x:c>
    </x:row>
    <x:row r="36">
      <x:c r="A36" t="n">
        <x:v>56</x:v>
      </x:c>
      <x:c r="B36" t="str">
        <x:v>Persistence-grade WASAPI/CoreAudio/CoreMIDI identity-strength contract with weak-identity fail-closed reconnect rules</x:v>
      </x:c>
      <x:c r="C36" t="n">
        <x:v>584</x:v>
      </x:c>
      <x:c r="D36" t="str">
        <x:v>Release Python + identity/schema/frontend/performance checks</x:v>
      </x:c>
      <x:c r="E36" t="str">
        <x:v>2/2 RT native CTest (native source unchanged)</x:v>
      </x:c>
      <x:c r="F36" t="str">
        <x:v>Actual Windows/macOS enumeration, hotplug notifications, stream recovery and platform qualification</x:v>
      </x:c>
      <x:c r="G36" t="str">
        <x:v>2026-09-14</x:v>
      </x:c>
    </x:row>
    <x:row r="37">
      <x:c r="A37" t="n">
        <x:v>57</x:v>
      </x:c>
      <x:c r="B37" t="str">
        <x:v>Backend-agnostic audio stop plus exact-unique persistent MIDI rebind across native endpoint-ID churn</x:v>
      </x:c>
      <x:c r="C37" t="n">
        <x:v>600</x:v>
      </x:c>
      <x:c r="D37" t="str">
        <x:v>Release Python + device-lifecycle/schema/frontend/performance checks</x:v>
      </x:c>
      <x:c r="E37" t="str">
        <x:v>2/2 RT native CTest (native source unchanged)</x:v>
      </x:c>
      <x:c r="F37" t="str">
        <x:v>Real Windows/macOS enumeration/change notifications, physical audio/MIDI execution and qualification</x:v>
      </x:c>
      <x:c r="G37" t="str">
        <x:v>2026-09-14</x:v>
      </x:c>
    </x:row>
    <x:row r="38">
      <x:c r="A38" t="n">
        <x:v>58</x:v>
      </x:c>
      <x:c r="B38" t="str">
        <x:v>Backend-neutral physical-audio active-state and post-start identity fencing with explicit platform-preflight boundary</x:v>
      </x:c>
      <x:c r="C38" t="n">
        <x:v>604</x:v>
      </x:c>
      <x:c r="D38" t="str">
        <x:v>Release Python + audio-runtime/schema/frontend/performance checks</x:v>
      </x:c>
      <x:c r="E38" t="str">
        <x:v>2/2 RT native CTest (native source unchanged)</x:v>
      </x:c>
      <x:c r="F38" t="str">
        <x:v>WASAPI/CoreAudio exact preflight/configuration and native stream adapters</x:v>
      </x:c>
      <x:c r="G38" t="str">
        <x:v>2026-09-14</x:v>
      </x:c>
    </x:row>
    <x:row r="39">
      <x:c r="A39" t="n">
        <x:v>59</x:v>
      </x:c>
      <x:c r="B39" t="str">
        <x:v>Transport-neutral bounded UPPF framing plus fail-closed Windows named-pipe ACL-validation contract</x:v>
      </x:c>
      <x:c r="C39" t="n">
        <x:v>610</x:v>
      </x:c>
      <x:c r="D39" t="str">
        <x:v>Release Python + local-IPC/session/schema/frontend/performance checks</x:v>
      </x:c>
      <x:c r="E39" t="str">
        <x:v>2/2 RT native CTest (native source unchanged)</x:v>
      </x:c>
      <x:c r="F39" t="str">
        <x:v>Real Windows DACL/listener/service integration and client/server execution</x:v>
      </x:c>
      <x:c r="G39" t="str">
        <x:v>2026-09-14</x:v>
      </x:c>
    </x:row>
    <x:row r="40">
      <x:c r="A40" t="n">
        <x:v>60</x:v>
      </x:c>
      <x:c r="B40" t="str">
        <x:v>Fail-closed Windows/macOS plugin launch attestation contract with no path-digest fallback</x:v>
      </x:c>
      <x:c r="C40" t="n">
        <x:v>614</x:v>
      </x:c>
      <x:c r="D40" t="str">
        <x:v>Release Python + plugin/schema/frontend/performance checks</x:v>
      </x:c>
      <x:c r="E40" t="str">
        <x:v>2/2 RT native CTest (native source unchanged)</x:v>
      </x:c>
      <x:c r="F40" t="str">
        <x:v>Actual Windows/macOS launch binders and licensed product qualification</x:v>
      </x:c>
      <x:c r="G40" t="str">
        <x:v>2026-09-14</x:v>
      </x:c>
    </x:row>
    <x:row r="41">
      <x:c r="A41" t="n">
        <x:v>61</x:v>
      </x:c>
      <x:c r="B41" t="str">
        <x:v>Installed isolated-rootfs Linux packaging qualifier with sysusers/tmpfiles, unit verification and state lifecycle checks</x:v>
      </x:c>
      <x:c r="C41" t="n">
        <x:v>616</x:v>
      </x:c>
      <x:c r="D41" t="str">
        <x:v>Release Python + package/schema/frontend/performance checks</x:v>
      </x:c>
      <x:c r="E41" t="str">
        <x:v>2/2 RT native CTest (native source unchanged)</x:v>
      </x:c>
      <x:c r="F41" t="str">
        <x:v>Real clean-host service boot/upgrade plus audio/MIDI/device permission qualification</x:v>
      </x:c>
      <x:c r="G41" t="str">
        <x:v>2026-09-14</x:v>
      </x:c>
    </x:row>
    <x:row r="42">
      <x:c r="A42" t="n">
        <x:v>62</x:v>
      </x:c>
      <x:c r="B42" t="str">
        <x:v>Real-Chromium accessibility-tree reference qualification for operator semantics</x:v>
      </x:c>
      <x:c r="C42" t="n">
        <x:v>618</x:v>
      </x:c>
      <x:c r="D42" t="str">
        <x:v>Release Python + Chromium AX-tree/schema/frontend/performance checks</x:v>
      </x:c>
      <x:c r="E42" t="str">
        <x:v>2/2 RT native CTest (native source unchanged)</x:v>
      </x:c>
      <x:c r="F42" t="str">
        <x:v>Actual screen-reader/switch/voice assistive-technology and deployed browser-network qualification</x:v>
      </x:c>
      <x:c r="G42" t="str">
        <x:v>2026-09-14</x:v>
      </x:c>
    </x:row>
    <x:row r="43">
      <x:c r="A43" t="n">
        <x:v>63</x:v>
      </x:c>
      <x:c r="B43" t="str">
        <x:v>Exact-build external qualification plan/result envelopes for all remaining environment-dependent gates</x:v>
      </x:c>
      <x:c r="C43" t="n">
        <x:v>621</x:v>
      </x:c>
      <x:c r="D43" t="str">
        <x:v>Release Python + qualification-bundle/schema/frontend/performance checks</x:v>
      </x:c>
      <x:c r="E43" t="str">
        <x:v>2/2 RT native CTest (native source unchanged)</x:v>
      </x:c>
      <x:c r="F43" t="str">
        <x:v>Actual external witness/LAN/OS/AT/plugin/hardware execution and evidence review</x:v>
      </x:c>
      <x:c r="G43" t="str">
        <x:v>2026-09-14</x:v>
      </x:c>
    </x:row>
    <x:row r="44">
      <x:c r="A44" t="n">
        <x:v>64</x:v>
      </x:c>
      <x:c r="B44" t="str">
        <x:v>Authenticated exact-build external qualification evidence review with required artifact verification</x:v>
      </x:c>
      <x:c r="C44" t="n">
        <x:v>627</x:v>
      </x:c>
      <x:c r="D44" t="str">
        <x:v>Release Python + qualification-review/schema/frontend/performance checks</x:v>
      </x:c>
      <x:c r="E44" t="str">
        <x:v>2/2 RT native CTest</x:v>
      </x:c>
      <x:c r="F44" t="str">
        <x:v>Actual external qualification execution and reviewer approval for remaining environment-dependent gates</x:v>
      </x:c>
      <x:c r="G44" t="str">
        <x:v>2026-09-14</x:v>
      </x:c>
    </x:row>
    <x:row r="45">
      <x:c r="A45" t="n">
        <x:v>65</x:v>
      </x:c>
      <x:c r="B45" t="str">
        <x:v>Exact-build external qualification intake/status aggregation with tamper-after-review detection</x:v>
      </x:c>
      <x:c r="C45" t="n">
        <x:v>631</x:v>
      </x:c>
      <x:c r="D45" t="str">
        <x:v>Release Python + qualification-status/schema/frontend/performance checks</x:v>
      </x:c>
      <x:c r="E45" t="str">
        <x:v>2/2 RT native CTest</x:v>
      </x:c>
      <x:c r="F45" t="str">
        <x:v>Actual external evidence submission/review for the eight remaining qualification environments</x:v>
      </x:c>
      <x:c r="G45" t="str">
        <x:v>2026-09-14</x:v>
      </x:c>
    </x:row>
    <x:row r="46">
      <x:c r="A46" t="n">
        <x:v>66</x:v>
      </x:c>
      <x:c r="B46" t="str">
        <x:v>Protected explicit-SID Win32 CreateNamedPipeW listener for bounded authenticated UPPF</x:v>
      </x:c>
      <x:c r="C46" t="n">
        <x:v>638</x:v>
      </x:c>
      <x:c r="D46" t="str">
        <x:v>Release Python split full-suite + named-pipe/schema/frontend/performance checks</x:v>
      </x:c>
      <x:c r="E46" t="str">
        <x:v>2/2 RT native CTest</x:v>
      </x:c>
      <x:c r="F46" t="str">
        <x:v>Actual Windows DACL inspection, unauthorized-client denial and service/client execution</x:v>
      </x:c>
      <x:c r="G46" t="str">
        <x:v>2026-09-14</x:v>
      </x:c>
    </x:row>
    <x:row r="47">
      <x:c r="A47" t="n">
        <x:v>67</x:v>
      </x:c>
      <x:c r="B47" t="str">
        <x:v>Pre-accept live kernel-DACL attestation for the protected Win32 UPPF named-pipe listener</x:v>
      </x:c>
      <x:c r="C47" t="n">
        <x:v>645</x:v>
      </x:c>
      <x:c r="D47" t="str">
        <x:v>Release Python split full-suite + Win32 ACL/schema/frontend/performance checks</x:v>
      </x:c>
      <x:c r="E47" t="str">
        <x:v>2/2 RT native CTest</x:v>
      </x:c>
      <x:c r="F47" t="str">
        <x:v>Actual Windows GetSecurityInfo/client-denial/service execution</x:v>
      </x:c>
      <x:c r="G47" t="str">
        <x:v>2026-09-14</x:v>
      </x:c>
    </x:row>
    <x:row r="48">
      <x:c r="A48" t="n">
        <x:v>68</x:v>
      </x:c>
      <x:c r="B48" t="str">
        <x:v>Installed service-identity explicit device-permission qualifier for clean-host Linux hardware namespace evidence</x:v>
      </x:c>
      <x:c r="C48" t="n">
        <x:v>650</x:v>
      </x:c>
      <x:c r="D48" t="str">
        <x:v>Release Python split full-suite + device-permission/package/schema/frontend/performance checks</x:v>
      </x:c>
      <x:c r="E48" t="str">
        <x:v>2/2 RT native CTest</x:v>
      </x:c>
      <x:c r="F48" t="str">
        <x:v>Real clean-host stageforge-user ALSA/MIDI/UWB device permission matrix</x:v>
      </x:c>
      <x:c r="G48" t="str">
        <x:v>2026-09-14</x:v>
      </x:c>
    </x:row>
    <x:row r="49">
      <x:c r="A49" t="n">
        <x:v>69</x:v>
      </x:c>
      <x:c r="B49" t="str">
        <x:v>Cross-platform GitHub Actions build/smoke harness with exact-engine platform evidence artifacts</x:v>
      </x:c>
      <x:c r="C49" t="n">
        <x:v>654</x:v>
      </x:c>
      <x:c r="D49" t="str">
        <x:v>Release Python + local Linux CI-smoke/schema/frontend/performance checks</x:v>
      </x:c>
      <x:c r="E49" t="str">
        <x:v>2/2 RT native CTest</x:v>
      </x:c>
      <x:c r="F49" t="str">
        <x:v>Seed GitHub source; execute/review Windows and macOS hosted jobs; retain physical qualification separately</x:v>
      </x:c>
      <x:c r="G49" t="str">
        <x:v>2026-09-14</x:v>
      </x:c>
    </x:row>
    <x:row r="50">
      <x:c r="A50" t="n">
        <x:v>70</x:v>
      </x:c>
      <x:c r="B50" t="str">
        <x:v>GitHub-canonical hosted Windows kernel DACL, authorized UPPF roundtrip and unauthorized-client denial evidence</x:v>
      </x:c>
      <x:c r="C50" t="n">
        <x:v>654</x:v>
      </x:c>
      <x:c r="D50" t="str">
        <x:v>GitHub Platform Modules: Linux/Windows/macOS all green; Windows denial returned WinError 5</x:v>
      </x:c>
      <x:c r="E50" t="str">
        <x:v>Checkpoint 69 local 2/2 RT native CTest baseline retained; target module bytes unchanged</x:v>
      </x:c>
      <x:c r="F50" t="str">
        <x:v>Production Windows service lifecycle/identity/restart integration; physical/platform hardware qualification remains separate</x:v>
      </x:c>
      <x:c r="G50" t="str">
        <x:v>2026-09-14</x:v>
      </x:c>
    </x:row>
    <x:row r="51">
      <x:c r="A51" t="n">
        <x:v>71</x:v>
      </x:c>
      <x:c r="B51" t="str">
        <x:v>Hosted Windows SCM LocalSystem service start/stop/restart with authenticated UPPF before and after restart</x:v>
      </x:c>
      <x:c r="C51" t="n">
        <x:v>654</x:v>
      </x:c>
      <x:c r="D51" t="str">
        <x:v>GitHub Platform Modules + generic CI green; downloaded Windows SCM evidence all intended lifecycle fields true</x:v>
      </x:c>
      <x:c r="E51" t="str">
        <x:v>Checkpoint 69 local 2/2 RT native CTest baseline retained</x:v>
      </x:c>
      <x:c r="F51" t="str">
        <x:v>Idle pending-accept stop cancellation remains; physical hardware remains separate</x:v>
      </x:c>
      <x:c r="G51" t="str">
        <x:v>2026-09-14</x:v>
      </x:c>
    </x:row>
    <x:row r="52">
      <x:c r="A52" t="n">
        <x:v>72</x:v>
      </x:c>
      <x:c r="B52" t="str">
        <x:v>Windows UPPF idle pending-accept shutdown and stale-handle-free SCM restart qualification</x:v>
      </x:c>
      <x:c r="C52" t="n">
        <x:v>654</x:v>
      </x:c>
      <x:c r="D52" t="str">
        <x:v>GitHub Platform Modules + generic CI green; idle STOP 0.266s and authenticated reconnect</x:v>
      </x:c>
      <x:c r="E52" t="str">
        <x:v>Checkpoint 69 local 2/2 RT native CTest baseline retained</x:v>
      </x:c>
      <x:c r="F52" t="str">
        <x:v>Windows IPC software row closed; remaining cross-platform work is audio/device/plugin plus external qualification</x:v>
      </x:c>
      <x:c r="G52" t="str">
        <x:v>2026-09-14</x:v>
      </x:c>
    </x:row>
    <x:row r="53">
      <x:c r="A53" t="n">
        <x:v>73</x:v>
      </x:c>
      <x:c r="B53" t="str">
        <x:v>GitHub-hosted Windows/macOS native verification-to-launch binders</x:v>
      </x:c>
      <x:c r="C53" t="n">
        <x:v>654</x:v>
      </x:c>
      <x:c r="D53" t="str">
        <x:v>Generic CI + StageForge Platform Modules green; Windows and Apple Silicon native-launch artifacts qualified</x:v>
      </x:c>
      <x:c r="E53" t="str">
        <x:v>Checkpoint 69 local 2/2 RT native CTest baseline retained</x:v>
      </x:c>
      <x:c r="F53" t="str">
        <x:v>Licensed plugin product matrices remain PLUG-035/036; physical hardware remains separate</x:v>
      </x:c>
      <x:c r="G53" t="str">
        <x:v>2026-09-14</x:v>
      </x:c>
    </x:row>
    <x:row r="54" ht="118" customHeight="1">
      <x:c r="A54" s="12" t="n">
        <x:v>74</x:v>
      </x:c>
      <x:c r="B54" s="12" t="str">
        <x:v>Native Windows MMDevice / macOS CoreAudio device monitor with explicit listener lifecycle</x:v>
      </x:c>
      <x:c r="C54" s="12" t="n">
        <x:v>2</x:v>
      </x:c>
      <x:c r="D54" s="12" t="str">
        <x:v>1 native CTest per OS plus evidence executable; all 6 GitHub checks passed. No full-engine regression claim.</x:v>
      </x:c>
      <x:c r="E54" s="12" t="str">
        <x:v>Hosted 25-cycle stop/restart, inactive/wrong-thread rejection and active destruction. Windows 0 endpoints; macOS 3.</x:v>
      </x:c>
      <x:c r="F54" s="12" t="str">
        <x:v>DEV-033/034 remain In Progress. Event delivery, MIDI, persistent identity, engine integration and streaming remain open; no hardware qualification.</x:v>
      </x:c>
      <x:c r="G54" s="12" t="str">
        <x:v>2026-09-14</x:v>
      </x:c>
    </x:row>
    <x:row r="55" ht="132" customHeight="1">
      <x:c r="A55" s="12" t="n">
        <x:v>75</x:v>
      </x:c>
      <x:c r="B55" s="12" t="str">
        <x:v>Persistent identity and native CoreAudio/CoreMIDI software events</x:v>
      </x:c>
      <x:c r="C55" s="12" t="n">
        <x:v>2</x:v>
      </x:c>
      <x:c r="D55" s="12" t="str">
        <x:v>1 native CTest per OS; all hosted workflows passed. macOS AddressSanitizer enabled.</x:v>
      </x:c>
      <x:c r="E55" s="12" t="str">
        <x:v>CoreAudio/CoreMIDI add/remove/recreate, exact-unique recovery. Windows empty-host identity contract.</x:v>
      </x:c>
      <x:c r="F55" s="12" t="str">
        <x:v>DEV-033/034 stay In Progress; engine integration, Windows native MIDI/stable-ID/events and physical hotplug remain.</x:v>
      </x:c>
      <x:c r="G55" s="12" t="str">
        <x:v>2026-09-14</x:v>
      </x:c>
    </x:row>
    <x:row r="56" ht="132" customHeight="1">
      <x:c r="A56" s="12" t="n">
        <x:v>76</x:v>
      </x:c>
      <x:c r="B56" s="12" t="str">
        <x:v>Fail-closed device execution fence with explicit rearm</x:v>
      </x:c>
      <x:c r="C56" s="12" t="n">
        <x:v>4</x:v>
      </x:c>
      <x:c r="D56" s="12" t="str">
        <x:v>2 native CTests per OS; all hosted workflows passed.</x:v>
      </x:c>
      <x:c r="E56" s="12" t="str">
        <x:v>Synthetic fence contract on both OSes; macOS CoreAudio/CoreMIDI software fence scenarios passed.</x:v>
      </x:c>
      <x:c r="F56" s="12" t="str">
        <x:v>Fence state machine does not own/stop real streams. Engine stream owner integration and physical qualification remain.</x:v>
      </x:c>
      <x:c r="G56" s="12" t="str">
        <x:v>2026-09-14</x:v>
      </x:c>
    </x:row>
    <x:row r="57" ht="132" customHeight="1">
      <x:c r="A57" s="12" t="n">
        <x:v>77</x:v>
      </x:c>
      <x:c r="B57" s="12" t="str">
        <x:v>Native WASAPI/CoreAudio exact audio preflight</x:v>
      </x:c>
      <x:c r="C57" s="12" t="n">
        <x:v>6</x:v>
      </x:c>
      <x:c r="D57" s="12" t="str">
        <x:v>3 native CTests per OS plus evidence executables; all 6 GitHub checks passed.</x:v>
      </x:c>
      <x:c r="E57" s="12" t="str">
        <x:v>macOS playback/capture: 48000 Hz, 512 frames, 2ch float32. Windows: no endpoints; missing-endpoint rejection passed.</x:v>
      </x:c>
      <x:c r="F57" s="12" t="str">
        <x:v>AUD-035/036 stay In Progress. No configuration applied, no audio I/O started; stream/engine integration remains.</x:v>
      </x:c>
      <x:c r="G57" s="12" t="str">
        <x:v>2026-09-14</x:v>
      </x:c>
    </x:row>
    <x:row r="58" ht="132" customHeight="1">
      <x:c r="A58" s="12" t="n">
        <x:v>78</x:v>
      </x:c>
      <x:c r="B58" s="12" t="str">
        <x:v>Guarded stream lifecycle and manual macOS Generic Output rendering</x:v>
      </x:c>
      <x:c r="C58" s="12" t="n">
        <x:v>8</x:v>
      </x:c>
      <x:c r="D58" s="12" t="str">
        <x:v>4 native CTests per OS; all 6 GitHub checks passed. macOS AddressSanitizer enabled.</x:v>
      </x:c>
      <x:c r="E58" s="12" t="str">
        <x:v>Stale state, pending stop and explicit rearm contracts; macOS 18 callbacks / 4608 frames with fenced silence and restart.</x:v>
      </x:c>
      <x:c r="F58" s="12" t="str">
        <x:v>AUD-035/036 and DEV-033/034 remain In Progress. No device clock, endpoint I/O, physical qualification or full-engine integration.</x:v>
      </x:c>
      <x:c r="G58" s="12" t="str">
        <x:v>2026-09-14</x:v>
      </x:c>
    </x:row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76e258e0d9254c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30" hidden="0" customWidth="1"/>
    <x:col min="5" max="5" width="34" hidden="0" customWidth="1"/>
  </x:cols>
  <x:sheetData>
    <x:row r="1" ht="15" hidden="0" customHeight="1">
      <x:c r="A1" s="3" t="str">
        <x:v>Gate</x:v>
      </x:c>
      <x:c r="B1" s="3" t="str">
        <x:v>State</x:v>
      </x:c>
      <x:c r="C1" s="3" t="str">
        <x:v>Evidence Still Required</x:v>
      </x:c>
      <x:c r="D1" s="3" t="str">
        <x:v>Backlog IDs</x:v>
      </x:c>
      <x:c r="E1" s="3" t="str">
        <x:v>Claim Constraint</x:v>
      </x:c>
    </x:row>
    <x:row r="2" ht="26.399999618530273" hidden="0" customHeight="1">
      <x:c r="A2" s="12" t="str">
        <x:v>LAN security</x:v>
      </x:c>
      <x:c r="B2" s="12" t="str">
        <x:v>Blocked</x:v>
      </x:c>
      <x:c r="C2" s="12" t="str">
        <x:v>Real deployed TLS/proxy/certificate/IdP/firewall exercise plus physical independent-witness clock/network/failure-domain evidence</x:v>
      </x:c>
      <x:c r="D2" s="12" t="str">
        <x:v>SEC-039, SEC-040</x:v>
      </x:c>
      <x:c r="E2" s="12" t="str">
        <x:v>Strict witness software/reference drill passes; no LAN-ready or physical-independence claim without deployed evidence</x:v>
      </x:c>
    </x:row>
    <x:row r="3" ht="15" hidden="0" customHeight="1">
      <x:c r="A3" s="12" t="str">
        <x:v>Persistent-fence recovery</x:v>
      </x:c>
      <x:c r="B3" s="12" t="str">
        <x:v>Blocked</x:v>
      </x:c>
      <x:c r="C3" s="12" t="str">
        <x:v>Real multi-host recovery through the strict 2-of-3 independent-witness topology, including one-witness loss</x:v>
      </x:c>
      <x:c r="D3" s="12" t="str">
        <x:v>REC-033, REC-034</x:v>
      </x:c>
      <x:c r="E3" s="12" t="str">
        <x:v>Software/reference quorum is complete; no production recovery claim until independent hosts are exercised</x:v>
      </x:c>
    </x:row>
    <x:row r="4" ht="26.399999618530273" hidden="0" customHeight="1">
      <x:c r="A4" s="12" t="str">
        <x:v>Audio conversion</x:v>
      </x:c>
      <x:c r="B4" s="12" t="str">
        <x:v>Blocked</x:v>
      </x:c>
      <x:c r="C4" s="12" t="str">
        <x:v>Measured noise/distortion/phase/resampling quality on named physical interfaces</x:v>
      </x:c>
      <x:c r="D4" s="12" t="str">
        <x:v>AUD-034</x:v>
      </x:c>
      <x:c r="E4" s="12" t="str">
        <x:v>Linux software execution is complete; no converter-quality or universal-hardware claim</x:v>
      </x:c>
    </x:row>
    <x:row r="5" ht="92" hidden="0" customHeight="1">
      <x:c r="A5" s="12" t="str">
        <x:v>Device hotplug</x:v>
      </x:c>
      <x:c r="B5" s="12" t="str">
        <x:v>Blocked</x:v>
      </x:c>
      <x:c r="C5" s="12" t="str">
        <x:v>Windows stable-ID/events and native MIDI; per-device listeners; engine/native-stream stop and reselection; named-device churn</x:v>
      </x:c>
      <x:c r="D5" s="12" t="str">
        <x:v>DEV-033..DEV-035</x:v>
      </x:c>
      <x:c r="E5" s="12" t="str">
        <x:v>Software events, identity recovery, explicit rearm and guarded stop contracts pass. Manual macOS rendering proves fenced silence. Real stream loss and physical hotplug remain unqualified.</x:v>
      </x:c>
    </x:row>
    <x:row r="6" ht="15" hidden="0" customHeight="1">
      <x:c r="A6" s="12" t="str">
        <x:v>Live audio</x:v>
      </x:c>
      <x:c r="B6" s="12" t="str">
        <x:v>Blocked</x:v>
      </x:c>
      <x:c r="C6" s="12" t="str">
        <x:v>Named-hardware soak + licensed plugin qualification</x:v>
      </x:c>
      <x:c r="D6" s="12" t="str">
        <x:v>LIVE-033, PLUG-033</x:v>
      </x:c>
      <x:c r="E6" s="12" t="str">
        <x:v>No stage-audio claim</x:v>
      </x:c>
    </x:row>
    <x:row r="7" ht="15" hidden="0" customHeight="1">
      <x:c r="A7" s="12" t="str">
        <x:v>Browser operations</x:v>
      </x:c>
      <x:c r="B7" s="12" t="str">
        <x:v>Open</x:v>
      </x:c>
      <x:c r="C7" s="12" t="str">
        <x:v>Actual screen-reader/keyboard assistive-technology exercise plus direct deployed browser-to-LAN/TLS/IdP qualification</x:v>
      </x:c>
      <x:c r="D7" s="12" t="str">
        <x:v>UX-035, SEC-040</x:v>
      </x:c>
      <x:c r="E7" s="12" t="str">
        <x:v>Rendered/responsive and Chromium accessibility-tree references pass; no screen-reader or deployed browser-network claim</x:v>
      </x:c>
    </x:row>
    <x:row r="8" ht="15" hidden="0" customHeight="1">
      <x:c r="A8" s="12" t="str">
        <x:v>Linux packaging</x:v>
      </x:c>
      <x:c r="B8" s="12" t="str">
        <x:v>Open</x:v>
      </x:c>
      <x:c r="C8" s="12" t="str">
        <x:v>Real clean-host/VM boot and upgrade exercise plus stageforge-user runs of the installed device-permission verifier against actual ALSA/MIDI/UWB nodes</x:v>
      </x:c>
      <x:c r="D8" s="12" t="str">
        <x:v>PKG-033, PKG-034</x:v>
      </x:c>
      <x:c r="E8" s="12" t="str">
        <x:v>Isolated-rootfs lifecycle and installed permission-verifier semantics pass; no real host/device qualification yet</x:v>
      </x:c>
    </x:row>
    <x:row r="9" ht="15" hidden="0" customHeight="1">
      <x:c r="A9" s="12" t="str">
        <x:v>Plugin coverage</x:v>
      </x:c>
      <x:c r="B9" s="12" t="str">
        <x:v>Blocked</x:v>
      </x:c>
      <x:c r="C9" s="12" t="str">
        <x:v>Licensed real-plugin compatibility matrices on Windows/macOS and remaining claimed OS/architectures</x:v>
      </x:c>
      <x:c r="D9" s="12" t="str">
        <x:v>PLUG-035..PLUG-038</x:v>
      </x:c>
      <x:c r="E9" s="12" t="str">
        <x:v>Linux and hosted Windows/macOS launch-binding mechanisms are complete; no licensed-product compatibility claim</x:v>
      </x:c>
    </x:row>
    <x:row r="10" ht="92" hidden="0" customHeight="1">
      <x:c r="A10" s="12" t="str">
        <x:v>Cross-platform</x:v>
      </x:c>
      <x:c r="B10" s="12" t="str">
        <x:v>Blocked</x:v>
      </x:c>
      <x:c r="C10" s="12" t="str">
        <x:v>Endpoint configuration, device-clocked WASAPI/CoreAudio I/O and engine integration; Windows MIDI/events; licensed plugin matrices</x:v>
      </x:c>
      <x:c r="D10" s="12" t="str">
        <x:v>AUD-035/036, DEV-033/034, PLUG-035/036</x:v>
      </x:c>
      <x:c r="E10" s="12" t="str">
        <x:v>Native identity/fence/preflight/lifecycle contracts pass. macOS manual Generic Output samples and restart pass. No device-clocked stream, licensed-product or hardware qualification.</x:v>
      </x:c>
    </x:row>
    <x:row r="11" ht="15" hidden="0" customHeight="1">
      <x:c r="A11" s="12" t="str">
        <x:v>Stage-qualified 6.0</x:v>
      </x:c>
      <x:c r="B11" s="12" t="str">
        <x:v>Deferred</x:v>
      </x:c>
      <x:c r="C11" s="12" t="str">
        <x:v>Named hardware timing/soak/RF/failover/rehearsal evidence</x:v>
      </x:c>
      <x:c r="D11" s="12" t="str">
        <x:v>HW-033..HW-037</x:v>
      </x:c>
      <x:c r="E11" s="12" t="str">
        <x:v>Release gate remains closed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conditionalFormatting sqref="B2:B11">
    <x:cfRule type="expression" dxfId="5" priority="1">
      <x:formula>B2="Blocked"</x:formula>
    </x:cfRule>
    <x:cfRule type="expression" dxfId="6" priority="2">
      <x:formula>B2="Open"</x:formula>
    </x:cfRule>
    <x:cfRule type="expression" dxfId="7" priority="3">
      <x:formula>B2="Deferred"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73cad47798348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78" hidden="0" customWidth="1"/>
  </x:cols>
  <x:sheetData>
    <x:row r="1" ht="15" hidden="0" customHeight="1">
      <x:c r="A1" s="3" t="str">
        <x:v>Category</x:v>
      </x:c>
      <x:c r="B1" s="3" t="str">
        <x:v>Value</x:v>
      </x:c>
      <x:c r="C1" s="3" t="str">
        <x:v>Meaning</x:v>
      </x:c>
    </x:row>
    <x:row r="2" ht="15" hidden="0" customHeight="1">
      <x:c r="A2" s="12" t="str">
        <x:v>Status</x:v>
      </x:c>
      <x:c r="B2" s="12" t="str">
        <x:v>Ready</x:v>
      </x:c>
      <x:c r="C2" s="12" t="str">
        <x:v>Scoped, dependencies understood, can begin without inventing missing external evidence.</x:v>
      </x:c>
    </x:row>
    <x:row r="3" ht="15" hidden="0" customHeight="1">
      <x:c r="A3" s="12" t="str">
        <x:v>Status</x:v>
      </x:c>
      <x:c r="B3" s="12" t="str">
        <x:v>Backlog</x:v>
      </x:c>
      <x:c r="C3" s="12" t="str">
        <x:v>Valid remaining work but needs design/implementation before it is execution-ready.</x:v>
      </x:c>
    </x:row>
    <x:row r="4" ht="26.399999618530273" hidden="0" customHeight="1">
      <x:c r="A4" s="12" t="str">
        <x:v>Status</x:v>
      </x:c>
      <x:c r="B4" s="12" t="str">
        <x:v>Blocked</x:v>
      </x:c>
      <x:c r="C4" s="12" t="str">
        <x:v>Cannot be completed honestly without a missing environment, license, platform or external dependency.</x:v>
      </x:c>
    </x:row>
    <x:row r="5" ht="15" hidden="0" customHeight="1">
      <x:c r="A5" s="12" t="str">
        <x:v>Status</x:v>
      </x:c>
      <x:c r="B5" s="12" t="str">
        <x:v>Deferred</x:v>
      </x:c>
      <x:c r="C5" s="12" t="str">
        <x:v>Intentionally postponed qualification/equipment work; not complete.</x:v>
      </x:c>
    </x:row>
    <x:row r="6" ht="26.399999618530273" hidden="0" customHeight="1">
      <x:c r="A6" s="12" t="str">
        <x:v>Status</x:v>
      </x:c>
      <x:c r="B6" s="12" t="str">
        <x:v>Done</x:v>
      </x:c>
      <x:c r="C6" s="12" t="str">
        <x:v>Acceptance and verification evidence exist for this layer. Done software does not imply qualified hardware.</x:v>
      </x:c>
    </x:row>
    <x:row r="7" ht="15" hidden="0" customHeight="1">
      <x:c r="A7" s="12" t="str">
        <x:v>Type</x:v>
      </x:c>
      <x:c r="B7" s="12" t="str">
        <x:v>Software</x:v>
      </x:c>
      <x:c r="C7" s="12" t="str">
        <x:v>Code/protocol/configuration work that can be closed with deterministic software evidence.</x:v>
      </x:c>
    </x:row>
    <x:row r="8" ht="26.399999618530273" hidden="0" customHeight="1">
      <x:c r="A8" s="12" t="str">
        <x:v>Type</x:v>
      </x:c>
      <x:c r="B8" s="12" t="str">
        <x:v>Qualification</x:v>
      </x:c>
      <x:c r="C8" s="12" t="str">
        <x:v>Evidence work requiring a deployment, real browser, OS, device, plugin, RF environment or production-like rehearsal.</x:v>
      </x:c>
    </x:row>
    <x:row r="9" ht="15" hidden="0" customHeight="1">
      <x:c r="A9" s="12" t="str">
        <x:v>Type</x:v>
      </x:c>
      <x:c r="B9" s="12" t="str">
        <x:v>Decision</x:v>
      </x:c>
      <x:c r="C9" s="12" t="str">
        <x:v>Owner/governance choice that blocks downstream work.</x:v>
      </x:c>
    </x:row>
    <x:row r="10" ht="15" hidden="0" customHeight="1">
      <x:c r="A10" s="12" t="str">
        <x:v>Priority</x:v>
      </x:c>
      <x:c r="B10" s="12" t="str">
        <x:v>P0</x:v>
      </x:c>
      <x:c r="C10" s="12" t="str">
        <x:v>Safety, authority, release or show-critical blocker.</x:v>
      </x:c>
    </x:row>
    <x:row r="11" ht="15" hidden="0" customHeight="1">
      <x:c r="A11" s="12" t="str">
        <x:v>Priority</x:v>
      </x:c>
      <x:c r="B11" s="12" t="str">
        <x:v>P1</x:v>
      </x:c>
      <x:c r="C11" s="12" t="str">
        <x:v>Important capability/reliability work that should follow the current P0 seam.</x:v>
      </x:c>
    </x:row>
    <x:row r="12" ht="15" hidden="0" customHeight="1">
      <x:c r="A12" s="12" t="str">
        <x:v>Priority</x:v>
      </x:c>
      <x:c r="B12" s="12" t="str">
        <x:v>P2</x:v>
      </x:c>
      <x:c r="C12" s="12" t="str">
        <x:v>Longer-horizon ecosystem/governance expansion.</x:v>
      </x:c>
    </x:row>
    <x:row r="13" ht="26.399999618530273" hidden="0" customHeight="1">
      <x:c r="A13" s="12" t="str">
        <x:v>Rule</x:v>
      </x:c>
      <x:c r="B13" s="12" t="str">
        <x:v>Support claims</x:v>
      </x:c>
      <x:c r="C13" s="12" t="str">
        <x:v>Only evidence from the relevant layer can close a claim. Inventory/discovery never substitutes for measured qualification.</x:v>
      </x:c>
    </x:row>
    <x:row r="14" ht="15" hidden="0" customHeight="1">
      <x:c r="A14" s="12" t="str">
        <x:v>Rule</x:v>
      </x:c>
      <x:c r="B14" s="12" t="str">
        <x:v>Dates</x:v>
      </x:c>
      <x:c r="C14" s="12" t="str">
        <x:v>No invented delivery dates. Sequence and gates are explicit; dates require real staffing/capacity.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36" hidden="0" customWidth="1"/>
    <x:col min="4" max="4" width="28" hidden="0" customWidth="1"/>
    <x:col min="5" max="5" width="40" hidden="0" customWidth="1"/>
    <x:col min="6" max="6" width="30" hidden="0" customWidth="1"/>
    <x:col min="7" max="7" width="22" hidden="0" customWidth="1"/>
    <x:col min="8" max="8" width="25" hidden="0" customWidth="1"/>
    <x:col min="9" max="9" width="42" hidden="0" customWidth="1"/>
    <x:col min="10" max="10" width="34" hidden="0" customWidth="1"/>
  </x:cols>
  <x:sheetData>
    <x:row r="1">
      <x:c r="A1" s="81" t="str">
        <x:v>StageForge External Qualification Plan</x:v>
      </x:c>
      <x:c r="B1" s="81"/>
      <x:c r="C1" s="81"/>
      <x:c r="D1" s="81"/>
      <x:c r="E1" s="81"/>
      <x:c r="F1" s="81"/>
      <x:c r="G1" s="81"/>
      <x:c r="H1" s="81"/>
      <x:c r="I1" s="70"/>
      <x:c r="J1" s="70"/>
    </x:row>
    <x:row r="2">
      <x:c r="A2" s="82" t="str">
        <x:v>Plan sha256:6d6f16e34d55ead174f55bd7e2cb39d1ad225fb27c11845be24ccd6bb54e4fbd · Source sha256:64310cb7547ebf86b0b817ce7629a45a0564470469ce741872fccab65ecc8650 · Engine sha256:56cee8c0f3864b0eb897909c8152ea26d2a83a5f3c8beba4cb1728c19c48de59</x:v>
      </x:c>
      <x:c r="B2" s="82"/>
      <x:c r="C2" s="82"/>
      <x:c r="D2" s="82"/>
      <x:c r="E2" s="82"/>
      <x:c r="F2" s="82"/>
      <x:c r="G2" s="82"/>
      <x:c r="H2" s="82"/>
      <x:c r="I2" s="70"/>
      <x:c r="J2" s="70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</x:row>
    <x:row r="4">
      <x:c r="A4" s="84" t="str">
        <x:v>Task</x:v>
      </x:c>
      <x:c r="B4" s="84" t="str">
        <x:v>Backlog IDs</x:v>
      </x:c>
      <x:c r="C4" s="84" t="str">
        <x:v>Required environment</x:v>
      </x:c>
      <x:c r="D4" s="84" t="str">
        <x:v>Existing command</x:v>
      </x:c>
      <x:c r="E4" s="84" t="str">
        <x:v>Required claims</x:v>
      </x:c>
      <x:c r="F4" s="84" t="str">
        <x:v>Required artifacts</x:v>
      </x:c>
      <x:c r="G4" s="84" t="str">
        <x:v>Result status</x:v>
      </x:c>
      <x:c r="H4" s="84" t="str">
        <x:v>Review status</x:v>
      </x:c>
      <x:c r="I4" s="84" t="str">
        <x:v>Evidence rule</x:v>
      </x:c>
      <x:c r="J4" s="84" t="str">
        <x:v>Build binding</x:v>
      </x:c>
    </x:row>
    <x:row r="5">
      <x:c r="A5" s="15" t="str">
        <x:v>independent-witness</x:v>
      </x:c>
      <x:c r="B5" s="15" t="str">
        <x:v>REC-033, REC-034, SEC-039</x:v>
      </x:c>
      <x:c r="C5" s="15" t="str">
        <x:v>three independently hosted witnesses plus primary/standby nodes</x:v>
      </x:c>
      <x:c r="D5" s="15" t="str">
        <x:v>stageforge-witness-qualify.py</x:v>
      </x:c>
      <x:c r="E5" s="15" t="str">
        <x:v>physicalIndependenceQualified
twoOfThreeSurvivesOneWitnessLoss
oneOfThreeDenied
clockSkewWithinBound
recoveredNodeRemainsStandbyDisarmed</x:v>
      </x:c>
      <x:c r="F5" s="15" t="str">
        <x:v>qualification-report
topology-inventory
clock-evidence</x:v>
      </x:c>
      <x:c r="G5" s="15" t="str">
        <x:v>External result required</x:v>
      </x:c>
      <x:c r="H5" s="15" t="str">
        <x:v>Authenticated review required</x:v>
      </x:c>
      <x:c r="I5" s="15" t="str">
        <x:v>Every required claim + artifact must verify before approval can be eligible for backlog review</x:v>
      </x:c>
      <x:c r="J5" s="15" t="str">
        <x:v>Exact planId + source SHA-256 + native-engine SHA-256</x:v>
      </x:c>
    </x:row>
    <x:row r="6">
      <x:c r="A6" s="15" t="str">
        <x:v>lan-security</x:v>
      </x:c>
      <x:c r="B6" s="15" t="str">
        <x:v>SEC-040</x:v>
      </x:c>
      <x:c r="C6" s="15" t="str">
        <x:v>deployed TLS reverse proxy, IdP/auth proxy and venue/control LAN firewall</x:v>
      </x:c>
      <x:c r="D6" s="15" t="str">
        <x:v>stageforge-http-qualify.py</x:v>
      </x:c>
      <x:c r="E6" s="15" t="str">
        <x:v>trustedCertificateQualified
hostOriginBoundaryQualified
idpIdentityQualified
firewallIngressQualified
controllerLoadQualified</x:v>
      </x:c>
      <x:c r="F6" s="15" t="str">
        <x:v>qualification-report
tls-certificate-chain
firewall-policy</x:v>
      </x:c>
      <x:c r="G6" s="15" t="str">
        <x:v>External result required</x:v>
      </x:c>
      <x:c r="H6" s="15" t="str">
        <x:v>Authenticated review required</x:v>
      </x:c>
      <x:c r="I6" s="15" t="str">
        <x:v>Every required claim + artifact must verify before approval can be eligible for backlog review</x:v>
      </x:c>
      <x:c r="J6" s="15" t="str">
        <x:v>Exact planId + source SHA-256 + native-engine SHA-256</x:v>
      </x:c>
    </x:row>
    <x:row r="7">
      <x:c r="A7" s="15" t="str">
        <x:v>linux-packaging-host</x:v>
      </x:c>
      <x:c r="B7" s="15" t="str">
        <x:v>PKG-033, PKG-034</x:v>
      </x:c>
      <x:c r="C7" s="15" t="str">
        <x:v>fresh Linux host or VM with representative audio/MIDI/device access</x:v>
      </x:c>
      <x:c r="D7" s="15" t="str">
        <x:v>stageforge-package-qualify.py</x:v>
      </x:c>
      <x:c r="E7" s="15" t="str">
        <x:v>cleanHostQualified
serviceBootQualified
upgradeStatePreserved
hardwarePermissionsQualified
uninstallPreservesState
purgeRemovesState</x:v>
      </x:c>
      <x:c r="F7" s="15" t="str">
        <x:v>qualification-report
package-manifest
service-evidence</x:v>
      </x:c>
      <x:c r="G7" s="15" t="str">
        <x:v>External result required</x:v>
      </x:c>
      <x:c r="H7" s="15" t="str">
        <x:v>Authenticated review required</x:v>
      </x:c>
      <x:c r="I7" s="15" t="str">
        <x:v>Every required claim + artifact must verify before approval can be eligible for backlog review</x:v>
      </x:c>
      <x:c r="J7" s="15" t="str">
        <x:v>Exact planId + source SHA-256 + native-engine SHA-256</x:v>
      </x:c>
    </x:row>
    <x:row r="8">
      <x:c r="A8" s="15" t="str">
        <x:v>windows-platform</x:v>
      </x:c>
      <x:c r="B8" s="15" t="str">
        <x:v>AUD-035, DEV-033, PLUG-035</x:v>
      </x:c>
      <x:c r="C8" s="15" t="str">
        <x:v>supported Windows host with audio/MIDI hardware and plugin fixtures</x:v>
      </x:c>
      <x:c r="D8" s="15" t="str">
        <x:v>Target-platform / manual harness</x:v>
      </x:c>
      <x:c r="E8" s="15" t="str">
        <x:v>audioNegotiationQualified
hotplugLifecycleQualified
namedPipeDaclQualified
pluginLaunchBindingQualified</x:v>
      </x:c>
      <x:c r="F8" s="15" t="str">
        <x:v>qualification-report
platform-observation
security-evidence</x:v>
      </x:c>
      <x:c r="G8" s="15" t="str">
        <x:v>External result required</x:v>
      </x:c>
      <x:c r="H8" s="15" t="str">
        <x:v>Authenticated review required</x:v>
      </x:c>
      <x:c r="I8" s="15" t="str">
        <x:v>Every required claim + artifact must verify before approval can be eligible for backlog review</x:v>
      </x:c>
      <x:c r="J8" s="15" t="str">
        <x:v>Exact planId + source SHA-256 + native-engine SHA-256</x:v>
      </x:c>
    </x:row>
    <x:row r="9">
      <x:c r="A9" s="15" t="str">
        <x:v>macos-platform</x:v>
      </x:c>
      <x:c r="B9" s="15" t="str">
        <x:v>AUD-036, DEV-034, PLUG-036</x:v>
      </x:c>
      <x:c r="C9" s="15" t="str">
        <x:v>supported macOS host with audio/MIDI hardware and plugin fixtures</x:v>
      </x:c>
      <x:c r="D9" s="15" t="str">
        <x:v>Target-platform / manual harness</x:v>
      </x:c>
      <x:c r="E9" s="15" t="str">
        <x:v>audioNegotiationQualified
hotplugLifecycleQualified
pluginLaunchBindingQualified</x:v>
      </x:c>
      <x:c r="F9" s="15" t="str">
        <x:v>qualification-report
platform-observation
security-evidence</x:v>
      </x:c>
      <x:c r="G9" s="15" t="str">
        <x:v>External result required</x:v>
      </x:c>
      <x:c r="H9" s="15" t="str">
        <x:v>Authenticated review required</x:v>
      </x:c>
      <x:c r="I9" s="15" t="str">
        <x:v>Every required claim + artifact must verify before approval can be eligible for backlog review</x:v>
      </x:c>
      <x:c r="J9" s="15" t="str">
        <x:v>Exact planId + source SHA-256 + native-engine SHA-256</x:v>
      </x:c>
    </x:row>
    <x:row r="10">
      <x:c r="A10" s="15" t="str">
        <x:v>assistive-technology</x:v>
      </x:c>
      <x:c r="B10" s="15" t="str">
        <x:v>UX-035</x:v>
      </x:c>
      <x:c r="C10" s="15" t="str">
        <x:v>real operator browser plus selected screen reader/keyboard AT stack</x:v>
      </x:c>
      <x:c r="D10" s="15" t="str">
        <x:v>Target-platform / manual harness</x:v>
      </x:c>
      <x:c r="E10" s="15" t="str">
        <x:v>keyboardWorkflowQualified
screenReaderWorkflowQualified
statusAnnouncementsQualified</x:v>
      </x:c>
      <x:c r="F10" s="15" t="str">
        <x:v>qualification-report
at-transcript</x:v>
      </x:c>
      <x:c r="G10" s="15" t="str">
        <x:v>External result required</x:v>
      </x:c>
      <x:c r="H10" s="15" t="str">
        <x:v>Authenticated review required</x:v>
      </x:c>
      <x:c r="I10" s="15" t="str">
        <x:v>Every required claim + artifact must verify before approval can be eligible for backlog review</x:v>
      </x:c>
      <x:c r="J10" s="15" t="str">
        <x:v>Exact planId + source SHA-256 + native-engine SHA-256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licensed real plugin fixtures on every claimed OS/architecture</x:v>
      </x:c>
      <x:c r="D11" s="15" t="str">
        <x:v>Target-platform / manual harness</x:v>
      </x:c>
      <x:c r="E11" s="15" t="str">
        <x:v>fixtureLicensesReviewed
loadControlAudioRestartMatrixQualified
delayCompensationQualified
failureBypassQualified</x:v>
      </x:c>
      <x:c r="F11" s="15" t="str">
        <x:v>qualification-report
fixture-inventory
compatibility-matrix</x:v>
      </x:c>
      <x:c r="G11" s="15" t="str">
        <x:v>External result required</x:v>
      </x:c>
      <x:c r="H11" s="15" t="str">
        <x:v>Authenticated review required</x:v>
      </x:c>
      <x:c r="I11" s="15" t="str">
        <x:v>Every required claim + artifact must verify before approval can be eligible for backlog review</x:v>
      </x:c>
      <x:c r="J11" s="15" t="str">
        <x:v>Exact planId + source SHA-256 + native-engine SHA-256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named production hardware and rehearsal topology</x:v>
      </x:c>
      <x:c r="D12" s="15" t="str">
        <x:v>stageforge-qualify.py</x:v>
      </x:c>
      <x:c r="E12" s="15" t="str">
        <x:v>latencySoakQualified
audibleRecordingLoopQualified
controllerTimingQualified
rfClockQualified
failoverTimingQualified</x:v>
      </x:c>
      <x:c r="F12" s="15" t="str">
        <x:v>qualification-report
hardware-inventory
measurement-summary</x:v>
      </x:c>
      <x:c r="G12" s="15" t="str">
        <x:v>External result required</x:v>
      </x:c>
      <x:c r="H12" s="15" t="str">
        <x:v>Authenticated review required</x:v>
      </x:c>
      <x:c r="I12" s="15" t="str">
        <x:v>Every required claim + artifact must verify before approval can be eligible for backlog review</x:v>
      </x:c>
      <x:c r="J12" s="15" t="str">
        <x:v>Exact planId + source SHA-256 + native-engine SHA-256</x:v>
      </x:c>
    </x:row>
    <x:row r="15">
      <x:c r="A15" s="73" t="str">
        <x:v>Qualification rules</x:v>
      </x:c>
      <x:c r="B15" s="73"/>
      <x:c r="C15" s="73"/>
      <x:c r="D15" s="73"/>
      <x:c r="E15" s="73"/>
      <x:c r="F15" s="73"/>
      <x:c r="G15" s="73"/>
      <x:c r="H15" s="73"/>
    </x:row>
    <x:row r="16" ht="85" customHeight="1">
      <x:c r="A16" s="49" t="str">
        <x:v>A result never closes a backlog item automatically. It must match this exact plan/build, use a hashed runner identity, keep physicalOutputsArmed=false, satisfy every required claim, and provide every required evidence artifact with verified SHA-256/size. An authorized reviewer then issues an authenticated approve/reject/needs-evidence envelope. Only an approval is eligible for backlog review; human/release review still decides whether the evidence is authentic and sufficient. This retained plan predates Checkpoint 74. Regenerate its exact source/engine binding before new qualification submissions; hosted module evidence does not update this plan.</x:v>
      </x:c>
      <x:c r="B16" s="49"/>
      <x:c r="C16" s="49"/>
      <x:c r="D16" s="49"/>
      <x:c r="E16" s="49"/>
      <x:c r="F16" s="49"/>
      <x:c r="G16" s="49"/>
      <x:c r="H16" s="49"/>
      <x:c r="I16" s="49"/>
      <x:c r="J16" s="49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</x:row>
  </x:sheetData>
  <x:mergeCells>
    <x:mergeCell ref="A1:H1"/>
    <x:mergeCell ref="A2:H2"/>
    <x:mergeCell ref="A15:J15"/>
    <x:mergeCell ref="A16:J19"/>
  </x:mergeCells>
  <x:conditionalFormatting sqref="F5:F12">
    <x:cfRule type="expression" dxfId="9" priority="1">
      <x:formula>F5="External evidence required"</x:formula>
    </x:cfRule>
  </x:conditionalFormatting>
  <x:conditionalFormatting sqref="G5:G12">
    <x:cfRule type="expression" dxfId="10" priority="2">
      <x:formula>G5="External result required"</x:formula>
    </x:cfRule>
  </x:conditionalFormatting>
  <x:conditionalFormatting sqref="H5:H12">
    <x:cfRule type="expression" dxfId="11" priority="3">
      <x:formula>H5="Authenticated review required"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18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48" hidden="0" customWidth="1"/>
  </x:cols>
  <x:sheetData>
    <x:row r="1">
      <x:c r="A1" s="100" t="str">
        <x:v>StageForge Qualification Intake Status</x:v>
      </x:c>
      <x:c r="B1" s="100"/>
      <x:c r="C1" s="100"/>
      <x:c r="D1" s="100"/>
      <x:c r="E1" s="100"/>
      <x:c r="F1" s="100"/>
      <x:c r="G1" s="100"/>
      <x:c r="H1" s="100"/>
    </x:row>
    <x:row r="2">
      <x:c r="A2" s="101" t="str">
        <x:v>Exact plan sha256:6d6f16e34d55ead174f55bd7e2cb39d1ad225fb27c11845be24ccd6bb54e4fbd · pending 8 · approved 0 · invalid 0</x:v>
      </x:c>
      <x:c r="B2" s="101"/>
      <x:c r="C2" s="101"/>
      <x:c r="D2" s="101"/>
      <x:c r="E2" s="101"/>
      <x:c r="F2" s="101"/>
      <x:c r="G2" s="101"/>
      <x:c r="H2" s="101"/>
    </x:row>
    <x:row r="3">
      <x:c r="A3" s="70"/>
      <x:c r="B3" s="70"/>
      <x:c r="C3" s="70"/>
      <x:c r="D3" s="70"/>
      <x:c r="E3" s="70"/>
      <x:c r="F3" s="70"/>
      <x:c r="G3" s="70"/>
      <x:c r="H3" s="70"/>
    </x:row>
    <x:row r="4">
      <x:c r="A4" s="102" t="str">
        <x:v>Task</x:v>
      </x:c>
      <x:c r="B4" s="102" t="str">
        <x:v>Backlog IDs</x:v>
      </x:c>
      <x:c r="C4" s="102" t="str">
        <x:v>Status</x:v>
      </x:c>
      <x:c r="D4" s="102" t="str">
        <x:v>Backlog-review eligible</x:v>
      </x:c>
      <x:c r="E4" s="102" t="str">
        <x:v>Result SHA-256</x:v>
      </x:c>
      <x:c r="F4" s="102" t="str">
        <x:v>Reviewer hash</x:v>
      </x:c>
      <x:c r="G4" s="102" t="str">
        <x:v>Reason</x:v>
      </x:c>
      <x:c r="H4" s="102" t="str">
        <x:v>Next action</x:v>
      </x:c>
    </x:row>
    <x:row r="5">
      <x:c r="A5" s="15" t="str">
        <x:v>independent-witness</x:v>
      </x:c>
      <x:c r="B5" s="15" t="str">
        <x:v>REC-033, REC-034, SEC-039</x:v>
      </x:c>
      <x:c r="C5" s="15" t="str">
        <x:v>pending</x:v>
      </x:c>
      <x:c r="D5" s="15" t="str">
        <x:v>No</x:v>
      </x:c>
      <x:c r="E5" s="15" t="str"/>
      <x:c r="F5" s="15" t="str"/>
      <x:c r="G5" s="15" t="str"/>
      <x:c r="H5" s="15" t="str">
        <x:v>Run the external task and submit result.json + artifacts</x:v>
      </x:c>
    </x:row>
    <x:row r="6">
      <x:c r="A6" s="15" t="str">
        <x:v>lan-security</x:v>
      </x:c>
      <x:c r="B6" s="15" t="str">
        <x:v>SEC-040</x:v>
      </x:c>
      <x:c r="C6" s="15" t="str">
        <x:v>pending</x:v>
      </x:c>
      <x:c r="D6" s="15" t="str">
        <x:v>No</x:v>
      </x:c>
      <x:c r="E6" s="15" t="str"/>
      <x:c r="F6" s="15" t="str"/>
      <x:c r="G6" s="15" t="str"/>
      <x:c r="H6" s="15" t="str">
        <x:v>Run the external task and submit result.json + artifacts</x:v>
      </x:c>
    </x:row>
    <x:row r="7">
      <x:c r="A7" s="15" t="str">
        <x:v>linux-packaging-host</x:v>
      </x:c>
      <x:c r="B7" s="15" t="str">
        <x:v>PKG-033, PKG-034</x:v>
      </x:c>
      <x:c r="C7" s="15" t="str">
        <x:v>pending</x:v>
      </x:c>
      <x:c r="D7" s="15" t="str">
        <x:v>No</x:v>
      </x:c>
      <x:c r="E7" s="15" t="str"/>
      <x:c r="F7" s="15" t="str"/>
      <x:c r="G7" s="15" t="str"/>
      <x:c r="H7" s="15" t="str">
        <x:v>Run the external task and submit result.json + artifacts</x:v>
      </x:c>
    </x:row>
    <x:row r="8">
      <x:c r="A8" s="15" t="str">
        <x:v>windows-platform</x:v>
      </x:c>
      <x:c r="B8" s="15" t="str">
        <x:v>AUD-035, DEV-033, PLUG-035</x:v>
      </x:c>
      <x:c r="C8" s="15" t="str">
        <x:v>pending</x:v>
      </x:c>
      <x:c r="D8" s="15" t="str">
        <x:v>No</x:v>
      </x:c>
      <x:c r="E8" s="15" t="str"/>
      <x:c r="F8" s="15" t="str"/>
      <x:c r="G8" s="15" t="str"/>
      <x:c r="H8" s="15" t="str">
        <x:v>Run the external task and submit result.json + artifacts</x:v>
      </x:c>
    </x:row>
    <x:row r="9">
      <x:c r="A9" s="15" t="str">
        <x:v>macos-platform</x:v>
      </x:c>
      <x:c r="B9" s="15" t="str">
        <x:v>AUD-036, DEV-034, PLUG-036</x:v>
      </x:c>
      <x:c r="C9" s="15" t="str">
        <x:v>pending</x:v>
      </x:c>
      <x:c r="D9" s="15" t="str">
        <x:v>No</x:v>
      </x:c>
      <x:c r="E9" s="15" t="str"/>
      <x:c r="F9" s="15" t="str"/>
      <x:c r="G9" s="15" t="str"/>
      <x:c r="H9" s="15" t="str">
        <x:v>Run the external task and submit result.json + artifacts</x:v>
      </x:c>
    </x:row>
    <x:row r="10">
      <x:c r="A10" s="15" t="str">
        <x:v>assistive-technology</x:v>
      </x:c>
      <x:c r="B10" s="15" t="str">
        <x:v>UX-035</x:v>
      </x:c>
      <x:c r="C10" s="15" t="str">
        <x:v>pending</x:v>
      </x:c>
      <x:c r="D10" s="15" t="str">
        <x:v>No</x:v>
      </x:c>
      <x:c r="E10" s="15" t="str"/>
      <x:c r="F10" s="15" t="str"/>
      <x:c r="G10" s="15" t="str"/>
      <x:c r="H10" s="15" t="str">
        <x:v>Run the external task and submit result.json + artifacts</x:v>
      </x:c>
    </x:row>
    <x:row r="11">
      <x:c r="A11" s="15" t="str">
        <x:v>licensed-plugin-matrix</x:v>
      </x:c>
      <x:c r="B11" s="15" t="str">
        <x:v>PLUG-033, PLUG-037, PLUG-038</x:v>
      </x:c>
      <x:c r="C11" s="15" t="str">
        <x:v>pending</x:v>
      </x:c>
      <x:c r="D11" s="15" t="str">
        <x:v>No</x:v>
      </x:c>
      <x:c r="E11" s="15" t="str"/>
      <x:c r="F11" s="15" t="str"/>
      <x:c r="G11" s="15" t="str"/>
      <x:c r="H11" s="15" t="str">
        <x:v>Run the external task and submit result.json + artifacts</x:v>
      </x:c>
    </x:row>
    <x:row r="12">
      <x:c r="A12" s="15" t="str">
        <x:v>stage-hardware</x:v>
      </x:c>
      <x:c r="B12" s="15" t="str">
        <x:v>AUD-034, DEV-035, LIVE-033, HW-033, HW-034, HW-035, HW-036, HW-037</x:v>
      </x:c>
      <x:c r="C12" s="15" t="str">
        <x:v>pending</x:v>
      </x:c>
      <x:c r="D12" s="15" t="str">
        <x:v>No</x:v>
      </x:c>
      <x:c r="E12" s="15" t="str"/>
      <x:c r="F12" s="15" t="str"/>
      <x:c r="G12" s="15" t="str"/>
      <x:c r="H12" s="15" t="str">
        <x:v>Run the external task and submit result.json + artifacts</x:v>
      </x:c>
    </x:row>
    <x:row r="15">
      <x:c r="A15" s="104" t="str">
        <x:v>Intake rule</x:v>
      </x:c>
      <x:c r="B15" s="104"/>
      <x:c r="C15" s="104"/>
      <x:c r="D15" s="104"/>
      <x:c r="E15" s="104"/>
      <x:c r="F15" s="104"/>
      <x:c r="G15" s="104"/>
      <x:c r="H15" s="104"/>
    </x:row>
    <x:row r="16">
      <x:c r="A16" s="108" t="str">
        <x:v>Approved means the exact-build result, current evidence files, and authenticated review are internally consistent. It does not mark any backlog row Done. External evidence still needs release/owner judgment, and physicalOutputsArmed remains false throughout the qualification envelope.</x:v>
      </x:c>
      <x:c r="B16" s="108"/>
      <x:c r="C16" s="108"/>
      <x:c r="D16" s="108"/>
      <x:c r="E16" s="108"/>
      <x:c r="F16" s="108"/>
      <x:c r="G16" s="108"/>
      <x:c r="H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</x:row>
    <x:row r="19">
      <x:c r="A19" s="108"/>
      <x:c r="B19" s="108"/>
      <x:c r="C19" s="108"/>
      <x:c r="D19" s="108"/>
      <x:c r="E19" s="108"/>
      <x:c r="F19" s="108"/>
      <x:c r="G19" s="108"/>
      <x:c r="H19" s="108"/>
    </x:row>
  </x:sheetData>
  <x:mergeCells>
    <x:mergeCell ref="A1:H1"/>
    <x:mergeCell ref="A2:H2"/>
    <x:mergeCell ref="A15:H15"/>
    <x:mergeCell ref="A16:H19"/>
  </x:mergeCells>
  <x:conditionalFormatting sqref="C5:C12">
    <x:cfRule type="expression" dxfId="12" priority="1">
      <x:formula>C5="pending"</x:formula>
    </x:cfRule>
    <x:cfRule type="expression" dxfId="13" priority="2">
      <x:formula>C5="approved"</x:formula>
    </x:cfRule>
    <x:cfRule type="expression" dxfId="14" priority="3">
      <x:formula>C5="invalid"</x:formula>
    </x:cfRule>
    <x:cfRule type="expression" dxfId="15" priority="4">
      <x:formula>C5="rejected"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8" hidden="0" customWidth="1"/>
    <x:col min="4" max="4" width="20" hidden="0" customWidth="1"/>
    <x:col min="5" max="5" width="48" hidden="0" customWidth="1"/>
    <x:col min="6" max="6" width="22" hidden="0" customWidth="1"/>
    <x:col min="7" max="7" width="38" hidden="0" customWidth="1"/>
    <x:col min="8" max="8" width="24" hidden="0" customWidth="1"/>
  </x:cols>
  <x:sheetData>
    <x:row r="1">
      <x:c r="A1" s="111" t="str">
        <x:v>StageForge CI Platform Evidence</x:v>
      </x:c>
      <x:c r="B1" s="111"/>
      <x:c r="C1" s="111"/>
      <x:c r="D1" s="111"/>
      <x:c r="E1" s="111"/>
      <x:c r="F1" s="111"/>
      <x:c r="G1" s="111"/>
      <x:c r="H1" s="111"/>
    </x:row>
    <x:row r="2">
      <x:c r="A2" s="114" t="str">
        <x:v>Checkpoint 78 | Code ec7bd4e4dc2977ac578048a8a95509a14ebcc1cd | Guarded lifecycle and manual software rendering</x:v>
      </x:c>
      <x:c r="B2" s="114"/>
      <x:c r="C2" s="114"/>
      <x:c r="D2" s="114"/>
      <x:c r="E2" s="114"/>
      <x:c r="F2" s="114"/>
      <x:c r="G2" s="114"/>
      <x:c r="H2" s="114"/>
    </x:row>
    <x:row r="4">
      <x:c r="A4" s="117" t="str">
        <x:v>Environment</x:v>
      </x:c>
      <x:c r="B4" s="117" t="str">
        <x:v>Runner</x:v>
      </x:c>
      <x:c r="C4" s="117" t="str">
        <x:v>Build</x:v>
      </x:c>
      <x:c r="D4" s="117" t="str">
        <x:v>Native tests</x:v>
      </x:c>
      <x:c r="E4" s="117" t="str">
        <x:v>Platform smoke</x:v>
      </x:c>
      <x:c r="F4" s="117" t="str">
        <x:v>Physical hardware</x:v>
      </x:c>
      <x:c r="G4" s="117" t="str">
        <x:v>Evidence</x:v>
      </x:c>
      <x:c r="H4" s="117" t="str">
        <x:v>Status</x:v>
      </x:c>
    </x:row>
    <x:row r="5">
      <x:c r="A5" s="12" t="str">
        <x:v>Linux module reference</x:v>
      </x:c>
      <x:c r="B5" s="12" t="str">
        <x:v>ubuntu-24.04</x:v>
      </x:c>
      <x:c r="C5" s="12" t="str">
        <x:v>GitHub canonical platform modules</x:v>
      </x:c>
      <x:c r="D5" s="12" t="str">
        <x:v>Passed</x:v>
      </x:c>
      <x:c r="E5" s="12" t="str">
        <x:v>Import/hash-bound smoke passed</x:v>
      </x:c>
      <x:c r="F5" s="12" t="str">
        <x:v>Not claimed</x:v>
      </x:c>
      <x:c r="G5" s="12" t="str">
        <x:v>Checkpoint 73 workflow run 34870219024</x:v>
      </x:c>
      <x:c r="H5" s="12" t="str">
        <x:v>Passed hosted</x:v>
      </x:c>
    </x:row>
    <x:row r="6">
      <x:c r="A6" s="12" t="str">
        <x:v>Windows x64</x:v>
      </x:c>
      <x:c r="B6" s="12" t="str">
        <x:v>Windows Server 2025</x:v>
      </x:c>
      <x:c r="C6" s="12" t="str">
        <x:v>UPPF + SCM + native launch binder</x:v>
      </x:c>
      <x:c r="D6" s="12" t="str">
        <x:v>Passed</x:v>
      </x:c>
      <x:c r="E6" s="12" t="str">
        <x:v>DACL/denial/SCM plus Authenticode + stable file identity launch binder</x:v>
      </x:c>
      <x:c r="F6" s="12" t="str">
        <x:v>Not claimed</x:v>
      </x:c>
      <x:c r="G6" s="12" t="str">
        <x:v>launch artifact sha256:53e36074c526bd8909af0ddc695a17856d7d90efd1d50b8ea29b26d6dc300876</x:v>
      </x:c>
      <x:c r="H6" s="12" t="str">
        <x:v>Passed hosted / PLUG-034</x:v>
      </x:c>
    </x:row>
    <x:row r="7">
      <x:c r="A7" s="12" t="str">
        <x:v>macOS Apple Silicon</x:v>
      </x:c>
      <x:c r="B7" s="12" t="str">
        <x:v>Darwin 23.6 arm64</x:v>
      </x:c>
      <x:c r="C7" s="12" t="str">
        <x:v>CoreAudio probe + native launch binder</x:v>
      </x:c>
      <x:c r="D7" s="12" t="str">
        <x:v>Passed</x:v>
      </x:c>
      <x:c r="E7" s="12" t="str">
        <x:v>CoreAudio evidence plus exact-byte private-copy codesign/CDHash launch binder</x:v>
      </x:c>
      <x:c r="F7" s="12" t="str">
        <x:v>Not claimed</x:v>
      </x:c>
      <x:c r="G7" s="12" t="str">
        <x:v>launch artifact sha256:527a6c92f6e277f3d5d6609fb42dabeb0d709e36755b8314b34487d1a9d60c92</x:v>
      </x:c>
      <x:c r="H7" s="12" t="str">
        <x:v>Passed hosted / PLUG-034</x:v>
      </x:c>
    </x:row>
    <x:row r="8" ht="110" customHeight="1">
      <x:c r="A8" s="12" t="str">
        <x:v>Windows lifecycle contract</x:v>
      </x:c>
      <x:c r="B8" s="12" t="str">
        <x:v>windows-latest / AMD64</x:v>
      </x:c>
      <x:c r="C8" s="12" t="str">
        <x:v>Test merge 00dae0d1647d718fa38cc319482ac591816355f2</x:v>
      </x:c>
      <x:c r="D8" s="12" t="str">
        <x:v>4 CTests + evidence executables passed</x:v>
      </x:c>
      <x:c r="E8" s="12" t="str">
        <x:v>Stale generations rejected; pending stop retained; explicit rearm enforced. Software renderer unavailable.</x:v>
      </x:c>
      <x:c r="F8" s="12" t="str">
        <x:v>Not claimed</x:v>
      </x:c>
      <x:c r="G8" s="12" t="str">
        <x:v>https://github.com/colinatwood/stageforge/actions/runs/34904550438
Lifecycle binary SHA-256: c78c21816e8c887db3825ae8ffb633d52ccd103ed2e22e0f28996dd86fe7e7ed</x:v>
      </x:c>
      <x:c r="H8" s="12" t="str">
        <x:v>Scope passed; AUD-035/DEV-033 open</x:v>
      </x:c>
    </x:row>
    <x:row r="9" ht="110" customHeight="1">
      <x:c r="A9" s="12" t="str">
        <x:v>macOS lifecycle + manual render</x:v>
      </x:c>
      <x:c r="B9" s="12" t="str">
        <x:v>macos-14 / Darwin 23.6.0 arm64</x:v>
      </x:c>
      <x:c r="C9" s="12" t="str">
        <x:v>Test merge 00dae0d1647d718fa38cc319482ac591816355f2</x:v>
      </x:c>
      <x:c r="D9" s="12" t="str">
        <x:v>4 CTests + evidence executables; ASan</x:v>
      </x:c>
      <x:c r="E9" s="12" t="str">
        <x:v>Generic Output: 18 callbacks, 4608 frames. Samples, fenced silence, native start/stop/restart verified. Manual rendering only.</x:v>
      </x:c>
      <x:c r="F9" s="12" t="str">
        <x:v>Not claimed</x:v>
      </x:c>
      <x:c r="G9" s="12" t="str">
        <x:v>https://github.com/colinatwood/stageforge/actions/runs/34904550438
Lifecycle binary SHA-256: 299f09cb1420d3b47968e4954582173256d1984038edeceb8002d01e2b3f4cc0</x:v>
      </x:c>
      <x:c r="H9" s="12" t="str">
        <x:v>Scope passed; AUD-036/DEV-034 open</x:v>
      </x:c>
    </x:row>
    <x:row r="10">
      <x:c r="A10" s="119" t="str">
        <x:v>Claim boundary</x:v>
      </x:c>
      <x:c r="B10" s="119"/>
      <x:c r="C10" s="119"/>
      <x:c r="D10" s="119"/>
      <x:c r="E10" s="119"/>
      <x:c r="F10" s="119"/>
      <x:c r="G10" s="119"/>
      <x:c r="H10" s="119"/>
    </x:row>
    <x:row r="11" ht="64" customHeight="1">
      <x:c r="A11" s="49" t="str">
        <x:v>Checkpoint 78 proves guarded lifecycle contracts on both hosted OSes and synchronous macOS Generic Output software rendering. The guard owns no OS stream and is not an atomic cross-thread callback gate. Windows has no renderer/endpoints. Endpoint configuration, device-clocked I/O, asynchronous callback ownership, full-engine integration, physical hotplug, licensed products and hardware timing remain open.</x:v>
      </x:c>
      <x:c r="B11" s="49"/>
      <x:c r="C11" s="49"/>
      <x:c r="D11" s="49"/>
      <x:c r="E11" s="49"/>
      <x:c r="F11" s="49"/>
      <x:c r="G11" s="49"/>
      <x:c r="H11" s="49"/>
    </x:row>
    <x:row r="12">
      <x:c r="A12" s="123"/>
      <x:c r="B12" s="123"/>
      <x:c r="C12" s="123"/>
      <x:c r="D12" s="123"/>
      <x:c r="E12" s="123"/>
      <x:c r="F12" s="123"/>
      <x:c r="G12" s="123"/>
      <x:c r="H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</x:row>
  </x:sheetData>
  <x:mergeCells>
    <x:mergeCell ref="A1:H1"/>
    <x:mergeCell ref="A2:H2"/>
    <x:mergeCell ref="A10:H10"/>
    <x:mergeCell ref="A11:H14"/>
  </x:mergeCells>
  <x:conditionalFormatting sqref="H5:H7">
    <x:cfRule type="expression" dxfId="16" priority="1">
      <x:formula>LEFT(H5,6)="Passed"</x:formula>
    </x:cfRule>
    <x:cfRule type="expression" dxfId="17" priority="2">
      <x:formula>LEFT(H5,7)="Pending"</x:formula>
    </x:cfRule>
  </x:conditionalFormatting>
  <x:pageMargins left="0.7" right="0.7" top="0.75" bottom="0.75" header="0.3" footer="0.3"/>
</x:worksheet>
</file>